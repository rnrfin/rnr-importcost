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FxRateTable">환율!$A$7:$D$43</definedName>
    <definedName name="RemitTable1">'외화송금내역'!$A$3:$L$40</definedName>
    <definedName name="RemitTable2">'외화송금내역'!$A$43:$L$97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29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  <author>import-cost-calculator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2026-06-18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2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2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283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29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29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29" t="inlineStr">
        <is>
          <t>-</t>
        </is>
      </c>
      <c r="AF39" s="129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283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29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S40+T40+W40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29" t="n"/>
      <c r="AF40" s="129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283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29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S41+T41+W41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29" t="n"/>
      <c r="AF41" s="129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283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29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S42+T42+W42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29" t="n"/>
      <c r="AF42" s="129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283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/>
      <c r="P43" s="129" t="n"/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0</v>
      </c>
      <c r="U43" s="129" t="n"/>
      <c r="V43" s="129" t="n"/>
      <c r="W43" s="128" t="n">
        <v>0</v>
      </c>
      <c r="X43" s="124" t="inlineStr">
        <is>
          <t>-</t>
        </is>
      </c>
      <c r="Y43" s="128" t="n">
        <v>0</v>
      </c>
      <c r="Z43" s="128">
        <f>S43+T43+W43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n"/>
      <c r="AE43" s="129" t="n"/>
      <c r="AF43" s="129" t="n"/>
    </row>
    <row r="44" ht="15.75" customHeight="1">
      <c r="A44" s="20" t="n">
        <v>29</v>
      </c>
      <c r="B44" s="20" t="inlineStr">
        <is>
          <t>CPO667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45925</v>
      </c>
      <c r="G44" s="184" t="n">
        <v>46080</v>
      </c>
      <c r="H44" s="24" t="n">
        <v>5673</v>
      </c>
      <c r="I44" s="185" t="n">
        <v>1441.6</v>
      </c>
      <c r="J44" s="26" t="n">
        <v>8178197</v>
      </c>
      <c r="K44" s="26" t="n">
        <v>8178197</v>
      </c>
      <c r="L44" s="26" t="n">
        <v>499</v>
      </c>
      <c r="M44" s="26" t="n">
        <v>319</v>
      </c>
      <c r="N44" s="20" t="inlineStr">
        <is>
          <t>EW CP2220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2025-09</t>
        </is>
      </c>
      <c r="AE44" s="184" t="inlineStr">
        <is>
          <t>2025-09-13</t>
        </is>
      </c>
      <c r="AF44" s="183" t="inlineStr">
        <is>
          <t>2026-08-28</t>
        </is>
      </c>
    </row>
    <row r="45" ht="15.75" customHeight="1">
      <c r="A45" s="20" t="n">
        <v>30</v>
      </c>
      <c r="B45" s="20" t="inlineStr">
        <is>
          <t>GPO458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라이센스</t>
        </is>
      </c>
      <c r="F45" s="183" t="n">
        <v>45982</v>
      </c>
      <c r="G45" s="184" t="n">
        <v>46020</v>
      </c>
      <c r="H45" s="24" t="n">
        <v>350</v>
      </c>
      <c r="I45" s="185" t="n">
        <v>1439.1</v>
      </c>
      <c r="J45" s="26" t="n">
        <v>503685</v>
      </c>
      <c r="K45" s="26" t="n">
        <v>503685</v>
      </c>
      <c r="L45" s="26" t="n">
        <v>253</v>
      </c>
      <c r="M45" s="26" t="n">
        <v>202</v>
      </c>
      <c r="N45" s="20" t="inlineStr">
        <is>
          <t>HFR License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2025-12</t>
        </is>
      </c>
      <c r="AE45" s="184" t="inlineStr">
        <is>
          <t>2025-12-01</t>
        </is>
      </c>
      <c r="AF45" s="183" t="inlineStr">
        <is>
          <t>2026-11-30</t>
        </is>
      </c>
    </row>
    <row r="46" ht="15.75" customHeight="1">
      <c r="A46" s="20" t="n">
        <v>31</v>
      </c>
      <c r="B46" s="20" t="inlineStr">
        <is>
          <t>CPO681</t>
        </is>
      </c>
      <c r="C46" s="21" t="inlineStr">
        <is>
          <t>Christie</t>
        </is>
      </c>
      <c r="D46" s="20" t="inlineStr">
        <is>
          <t>Net 45 days</t>
        </is>
      </c>
      <c r="E46" s="21" t="inlineStr">
        <is>
          <t>워런티(EW)</t>
        </is>
      </c>
      <c r="F46" s="183" t="n">
        <v>45993</v>
      </c>
      <c r="G46" s="184" t="n">
        <v>46064</v>
      </c>
      <c r="H46" s="24" t="n">
        <v>26358</v>
      </c>
      <c r="I46" s="185" t="n">
        <v>1460.7</v>
      </c>
      <c r="J46" s="26" t="n">
        <v>38501131</v>
      </c>
      <c r="K46" s="26" t="n">
        <v>38501131</v>
      </c>
      <c r="L46" s="26" t="n">
        <v>12500</v>
      </c>
      <c r="M46" s="26" t="n">
        <v>8000</v>
      </c>
      <c r="N46" s="20" t="inlineStr">
        <is>
          <t>EW CP2309/2315/2320-RGB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2025-12</t>
        </is>
      </c>
      <c r="AE46" s="184" t="inlineStr">
        <is>
          <t>2025-12-22</t>
        </is>
      </c>
      <c r="AF46" s="183" t="inlineStr">
        <is>
          <t>2026-12-21</t>
        </is>
      </c>
    </row>
    <row r="47" ht="15.75" customHeight="1">
      <c r="A47" s="20" t="n">
        <v>32</v>
      </c>
      <c r="B47" s="20" t="inlineStr">
        <is>
          <t>GPO459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워런티(EW)</t>
        </is>
      </c>
      <c r="F47" s="183" t="n">
        <v>46007</v>
      </c>
      <c r="G47" s="184" t="n">
        <v>46043</v>
      </c>
      <c r="H47" s="24" t="n">
        <v>450</v>
      </c>
      <c r="I47" s="185" t="n">
        <v>1475.7</v>
      </c>
      <c r="J47" s="26" t="n">
        <v>664065</v>
      </c>
      <c r="K47" s="26" t="n">
        <v>664065</v>
      </c>
      <c r="L47" s="26" t="n">
        <v>912</v>
      </c>
      <c r="M47" s="26" t="n">
        <v>973</v>
      </c>
      <c r="N47" s="20" t="inlineStr">
        <is>
          <t>TMS-2000 EW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2026-01-01</t>
        </is>
      </c>
      <c r="AF47" s="183" t="inlineStr">
        <is>
          <t>2026-12-31</t>
        </is>
      </c>
    </row>
    <row r="48" ht="15.75" customHeight="1">
      <c r="A48" s="20" t="n">
        <v>33</v>
      </c>
      <c r="B48" s="20" t="inlineStr">
        <is>
          <t>GPO461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워런티(EW)</t>
        </is>
      </c>
      <c r="F48" s="183" t="n">
        <v>46007</v>
      </c>
      <c r="G48" s="184" t="n">
        <v>46043</v>
      </c>
      <c r="H48" s="24" t="n">
        <v>540</v>
      </c>
      <c r="I48" s="185" t="n">
        <v>1475.7</v>
      </c>
      <c r="J48" s="26" t="n">
        <v>796878</v>
      </c>
      <c r="K48" s="26" t="n">
        <v>796878</v>
      </c>
      <c r="L48" s="26" t="n">
        <v>1095</v>
      </c>
      <c r="M48" s="26" t="n">
        <v>1168</v>
      </c>
      <c r="N48" s="20" t="inlineStr">
        <is>
          <t>TMS-1000 EW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2025-11</t>
        </is>
      </c>
      <c r="AE48" s="184" t="inlineStr">
        <is>
          <t>2025-11-01</t>
        </is>
      </c>
      <c r="AF48" s="183" t="inlineStr">
        <is>
          <t>2026-10-30</t>
        </is>
      </c>
    </row>
    <row r="49" ht="15.75" customHeight="1">
      <c r="A49" s="20" t="n">
        <v>34</v>
      </c>
      <c r="B49" s="20" t="inlineStr">
        <is>
          <t>CPO685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83" t="n">
        <v>46010</v>
      </c>
      <c r="G49" s="184" t="n">
        <v>46080</v>
      </c>
      <c r="H49" s="24" t="n">
        <v>136516</v>
      </c>
      <c r="I49" s="185" t="n">
        <v>1441.6</v>
      </c>
      <c r="J49" s="26" t="n">
        <v>196801466</v>
      </c>
      <c r="K49" s="26" t="n">
        <v>196801466</v>
      </c>
      <c r="L49" s="26" t="n">
        <v>12001</v>
      </c>
      <c r="M49" s="26" t="n">
        <v>7681</v>
      </c>
      <c r="N49" s="20" t="inlineStr">
        <is>
          <t>EW 대량 (CP2208~CP4450)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35</v>
      </c>
      <c r="B50" s="20" t="inlineStr">
        <is>
          <t>GPO465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46015</v>
      </c>
      <c r="G50" s="184" t="inlineStr">
        <is>
          <t>-</t>
        </is>
      </c>
      <c r="H50" s="24" t="n">
        <v>76054</v>
      </c>
      <c r="I50" s="185">
        <f>IFERROR(VLOOKUP(B50,RemitTable2,7,FALSE),0)</f>
        <v/>
      </c>
      <c r="J50" s="26" t="n">
        <v>0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EW 대량 (SR/SX/TMS)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36</v>
      </c>
      <c r="B51" s="20" t="inlineStr">
        <is>
          <t>CPO686</t>
        </is>
      </c>
      <c r="C51" s="21" t="inlineStr">
        <is>
          <t>Christie</t>
        </is>
      </c>
      <c r="D51" s="20" t="inlineStr">
        <is>
          <t>Net 45 days</t>
        </is>
      </c>
      <c r="E51" s="21" t="inlineStr">
        <is>
          <t>워런티(EW)</t>
        </is>
      </c>
      <c r="F51" s="183" t="n">
        <v>46029</v>
      </c>
      <c r="G51" s="184" t="n">
        <v>46072</v>
      </c>
      <c r="H51" s="24" t="n">
        <v>14793</v>
      </c>
      <c r="I51" s="185" t="n">
        <v>1451.7</v>
      </c>
      <c r="J51" s="26" t="n">
        <v>21474998</v>
      </c>
      <c r="K51" s="26" t="n">
        <v>21474998</v>
      </c>
      <c r="L51" s="26" t="n">
        <v>8435</v>
      </c>
      <c r="M51" s="26" t="n">
        <v>6748</v>
      </c>
      <c r="N51" s="20" t="inlineStr">
        <is>
          <t>EW CP2315/CP4440-RGB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2026-01</t>
        </is>
      </c>
      <c r="AE51" s="184" t="inlineStr">
        <is>
          <t>2026-01-30</t>
        </is>
      </c>
      <c r="AF51" s="183" t="inlineStr">
        <is>
          <t>2027-01-29</t>
        </is>
      </c>
    </row>
    <row r="52" ht="15.75" customHeight="1">
      <c r="A52" s="20" t="n">
        <v>37</v>
      </c>
      <c r="B52" s="20" t="inlineStr">
        <is>
          <t>CPO687</t>
        </is>
      </c>
      <c r="C52" s="21" t="inlineStr">
        <is>
          <t>Christie</t>
        </is>
      </c>
      <c r="D52" s="20" t="inlineStr">
        <is>
          <t>Net 45 days</t>
        </is>
      </c>
      <c r="E52" s="21" t="inlineStr">
        <is>
          <t>워런티(EW)</t>
        </is>
      </c>
      <c r="F52" s="183" t="n">
        <v>46029</v>
      </c>
      <c r="G52" s="184" t="inlineStr">
        <is>
          <t>-</t>
        </is>
      </c>
      <c r="H52" s="24" t="n">
        <v>26656</v>
      </c>
      <c r="I52" s="185">
        <f>IFERROR(VLOOKUP(B52,RemitTable2,7,FALSE),0)</f>
        <v/>
      </c>
      <c r="J52" s="26" t="n">
        <v>0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EW (홀딩)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2026-01</t>
        </is>
      </c>
      <c r="AE52" s="184" t="inlineStr">
        <is>
          <t>-</t>
        </is>
      </c>
      <c r="AF52" s="183" t="inlineStr">
        <is>
          <t>-</t>
        </is>
      </c>
    </row>
    <row r="53" ht="15.75" customHeight="1">
      <c r="A53" s="20" t="n">
        <v>38</v>
      </c>
      <c r="B53" s="20" t="inlineStr">
        <is>
          <t>GPO462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라이센스</t>
        </is>
      </c>
      <c r="F53" s="183" t="n">
        <v>46042</v>
      </c>
      <c r="G53" s="184" t="n">
        <v>46057</v>
      </c>
      <c r="H53" s="24" t="n">
        <v>1440</v>
      </c>
      <c r="I53" s="185" t="n">
        <v>1453.6</v>
      </c>
      <c r="J53" s="26" t="n">
        <v>2093184</v>
      </c>
      <c r="K53" s="26" t="n">
        <v>2093184</v>
      </c>
      <c r="L53" s="26" t="n">
        <v>1241</v>
      </c>
      <c r="M53" s="26" t="n">
        <v>993</v>
      </c>
      <c r="N53" s="20" t="inlineStr">
        <is>
          <t>TMS-2000 License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2026-01</t>
        </is>
      </c>
      <c r="AE53" s="184" t="inlineStr">
        <is>
          <t>2026-01-01</t>
        </is>
      </c>
      <c r="AF53" s="183" t="inlineStr">
        <is>
          <t>2026-12-31</t>
        </is>
      </c>
    </row>
    <row r="54" ht="15.75" customHeight="1">
      <c r="A54" s="20" t="n">
        <v>39</v>
      </c>
      <c r="B54" s="20" t="inlineStr">
        <is>
          <t>GPO463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워런티(EW)</t>
        </is>
      </c>
      <c r="F54" s="183" t="n">
        <v>46042</v>
      </c>
      <c r="G54" s="184" t="n">
        <v>46057</v>
      </c>
      <c r="H54" s="24" t="n">
        <v>4489</v>
      </c>
      <c r="I54" s="185" t="n">
        <v>1453.6</v>
      </c>
      <c r="J54" s="26" t="n">
        <v>6525210</v>
      </c>
      <c r="K54" s="26" t="n">
        <v>6525210</v>
      </c>
      <c r="L54" s="26" t="n">
        <v>3870</v>
      </c>
      <c r="M54" s="26" t="n">
        <v>3096</v>
      </c>
      <c r="N54" s="20" t="inlineStr">
        <is>
          <t>SX/SR EW (CGV/Lotte)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2026-01</t>
        </is>
      </c>
      <c r="AE54" s="184" t="inlineStr">
        <is>
          <t>2026-01-01</t>
        </is>
      </c>
      <c r="AF54" s="183" t="inlineStr">
        <is>
          <t>2026-12-31</t>
        </is>
      </c>
    </row>
    <row r="55" ht="15.75" customHeight="1">
      <c r="A55" s="20" t="n">
        <v>40</v>
      </c>
      <c r="B55" s="20" t="inlineStr">
        <is>
          <t>GPO464</t>
        </is>
      </c>
      <c r="C55" s="21" t="inlineStr">
        <is>
          <t>GDC</t>
        </is>
      </c>
      <c r="D55" s="20" t="inlineStr">
        <is>
          <t>Net 30 days</t>
        </is>
      </c>
      <c r="E55" s="21" t="inlineStr">
        <is>
          <t>워런티(EW)</t>
        </is>
      </c>
      <c r="F55" s="183" t="n">
        <v>46042</v>
      </c>
      <c r="G55" s="184" t="n">
        <v>46057</v>
      </c>
      <c r="H55" s="24" t="n">
        <v>5670.57</v>
      </c>
      <c r="I55" s="185" t="n">
        <v>1453.6</v>
      </c>
      <c r="J55" s="26" t="n">
        <v>8242741</v>
      </c>
      <c r="K55" s="26" t="n">
        <v>8242741</v>
      </c>
      <c r="L55" s="26" t="n">
        <v>4889</v>
      </c>
      <c r="M55" s="26" t="n">
        <v>3911</v>
      </c>
      <c r="N55" s="20" t="inlineStr">
        <is>
          <t>SR-1000/SX-3000 EW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2026-01</t>
        </is>
      </c>
      <c r="AE55" s="184" t="inlineStr">
        <is>
          <t>2026-01-01</t>
        </is>
      </c>
      <c r="AF55" s="183" t="inlineStr">
        <is>
          <t>2026-12-31</t>
        </is>
      </c>
    </row>
    <row r="56" ht="15.75" customHeight="1">
      <c r="A56" s="20" t="n">
        <v>41</v>
      </c>
      <c r="B56" s="20" t="inlineStr">
        <is>
          <t>CPO691</t>
        </is>
      </c>
      <c r="C56" s="21" t="inlineStr">
        <is>
          <t>Christie</t>
        </is>
      </c>
      <c r="D56" s="20" t="inlineStr">
        <is>
          <t>Net 45 days</t>
        </is>
      </c>
      <c r="E56" s="21" t="inlineStr">
        <is>
          <t>워런티(EW)</t>
        </is>
      </c>
      <c r="F56" s="183" t="n">
        <v>46057</v>
      </c>
      <c r="G56" s="184" t="n">
        <v>46113</v>
      </c>
      <c r="H56" s="24" t="n">
        <v>24614</v>
      </c>
      <c r="I56" s="185" t="n">
        <v>1505.7</v>
      </c>
      <c r="J56" s="26" t="n">
        <v>37061300</v>
      </c>
      <c r="K56" s="26" t="n">
        <v>37061300</v>
      </c>
      <c r="L56" s="26" t="n">
        <v>8956</v>
      </c>
      <c r="M56" s="26" t="n">
        <v>5732</v>
      </c>
      <c r="N56" s="20" t="inlineStr">
        <is>
          <t>EW (메가박스 외)</t>
        </is>
      </c>
      <c r="O56" s="20" t="inlineStr">
        <is>
          <t>-</t>
        </is>
      </c>
      <c r="P56" s="20" t="inlineStr">
        <is>
          <t>-</t>
        </is>
      </c>
      <c r="Q56" s="24">
        <f>IF(P56="","",IFERROR(VLOOKUP(O56,FxRateTable,4,TRUE),""))</f>
        <v/>
      </c>
      <c r="R56" s="26">
        <f>IF(P56="","",H56)</f>
        <v/>
      </c>
      <c r="S56" s="26" t="n">
        <v>0</v>
      </c>
      <c r="T56" s="26" t="n">
        <v>0</v>
      </c>
      <c r="U56" s="21" t="n">
        <v>0</v>
      </c>
      <c r="V56" s="20" t="inlineStr">
        <is>
          <t>-</t>
        </is>
      </c>
      <c r="W56" s="26" t="n">
        <v>0</v>
      </c>
      <c r="X56" s="21" t="inlineStr">
        <is>
          <t>-</t>
        </is>
      </c>
      <c r="Y56" s="26" t="n">
        <v>0</v>
      </c>
      <c r="Z56" s="26">
        <f>S56+T56+W56</f>
        <v/>
      </c>
      <c r="AA56" s="26">
        <f>K56+L56+M56+IFERROR(VLOOKUP(B56,RemitTable2,9,FALSE),0)+Y56+Z56</f>
        <v/>
      </c>
      <c r="AB56" s="27" t="n">
        <v>1</v>
      </c>
      <c r="AC56" s="26">
        <f>ROUND(AA56/AB56,0)</f>
        <v/>
      </c>
      <c r="AD56" s="20" t="inlineStr">
        <is>
          <t>2026-03</t>
        </is>
      </c>
      <c r="AE56" s="184" t="inlineStr">
        <is>
          <t>2026-03-01</t>
        </is>
      </c>
      <c r="AF56" s="183" t="inlineStr">
        <is>
          <t>2027-02-28</t>
        </is>
      </c>
    </row>
    <row r="57" ht="15.75" customHeight="1">
      <c r="A57" s="20" t="n">
        <v>42</v>
      </c>
      <c r="B57" s="20" t="inlineStr">
        <is>
          <t>GPO469</t>
        </is>
      </c>
      <c r="C57" s="21" t="inlineStr">
        <is>
          <t>GDC</t>
        </is>
      </c>
      <c r="D57" s="20" t="inlineStr">
        <is>
          <t>Net 30 days</t>
        </is>
      </c>
      <c r="E57" s="21" t="inlineStr">
        <is>
          <t>워런티(EW)</t>
        </is>
      </c>
      <c r="F57" s="183" t="n">
        <v>46060</v>
      </c>
      <c r="G57" s="184" t="n">
        <v>46113</v>
      </c>
      <c r="H57" s="24" t="n">
        <v>3993.05</v>
      </c>
      <c r="I57" s="185" t="n">
        <v>1506.4</v>
      </c>
      <c r="J57" s="26" t="n">
        <v>6015131</v>
      </c>
      <c r="K57" s="26" t="n">
        <v>6015131</v>
      </c>
      <c r="L57" s="26" t="n">
        <v>6093</v>
      </c>
      <c r="M57" s="26" t="n">
        <v>4875</v>
      </c>
      <c r="N57" s="20" t="inlineStr">
        <is>
          <t>SR/SX EW (하남미사 외)</t>
        </is>
      </c>
      <c r="O57" s="20" t="inlineStr">
        <is>
          <t>-</t>
        </is>
      </c>
      <c r="P57" s="20" t="inlineStr">
        <is>
          <t>-</t>
        </is>
      </c>
      <c r="Q57" s="24">
        <f>IF(P57="","",IFERROR(VLOOKUP(O57,FxRateTable,4,TRUE),""))</f>
        <v/>
      </c>
      <c r="R57" s="26">
        <f>IF(P57="","",H57)</f>
        <v/>
      </c>
      <c r="S57" s="26" t="n">
        <v>0</v>
      </c>
      <c r="T57" s="26" t="n">
        <v>0</v>
      </c>
      <c r="U57" s="21" t="n">
        <v>0</v>
      </c>
      <c r="V57" s="20" t="inlineStr">
        <is>
          <t>-</t>
        </is>
      </c>
      <c r="W57" s="26" t="n">
        <v>0</v>
      </c>
      <c r="X57" s="21" t="inlineStr">
        <is>
          <t>-</t>
        </is>
      </c>
      <c r="Y57" s="26" t="n">
        <v>0</v>
      </c>
      <c r="Z57" s="26">
        <f>S57+T57+W57</f>
        <v/>
      </c>
      <c r="AA57" s="26">
        <f>K57+L57+M57+IFERROR(VLOOKUP(B57,RemitTable2,9,FALSE),0)+Y57+Z57</f>
        <v/>
      </c>
      <c r="AB57" s="27" t="n">
        <v>1</v>
      </c>
      <c r="AC57" s="26">
        <f>ROUND(AA57/AB57,0)</f>
        <v/>
      </c>
      <c r="AD57" s="20" t="inlineStr">
        <is>
          <t>2026-01</t>
        </is>
      </c>
      <c r="AE57" s="184" t="inlineStr">
        <is>
          <t>2026-01-01</t>
        </is>
      </c>
      <c r="AF57" s="183" t="inlineStr">
        <is>
          <t>2027-02-22</t>
        </is>
      </c>
    </row>
    <row r="58" ht="15.75" customHeight="1">
      <c r="A58" s="20" t="n">
        <v>43</v>
      </c>
      <c r="B58" s="20" t="inlineStr">
        <is>
          <t>GPO470</t>
        </is>
      </c>
      <c r="C58" s="21" t="inlineStr">
        <is>
          <t>GDC</t>
        </is>
      </c>
      <c r="D58" s="20" t="inlineStr">
        <is>
          <t>Net 30 days</t>
        </is>
      </c>
      <c r="E58" s="21" t="inlineStr">
        <is>
          <t>라이센스</t>
        </is>
      </c>
      <c r="F58" s="183" t="n">
        <v>46080</v>
      </c>
      <c r="G58" s="184" t="n">
        <v>46113</v>
      </c>
      <c r="H58" s="24" t="n">
        <v>360</v>
      </c>
      <c r="I58" s="185" t="n">
        <v>1506.4</v>
      </c>
      <c r="J58" s="26" t="n">
        <v>542304</v>
      </c>
      <c r="K58" s="26" t="n">
        <v>542304</v>
      </c>
      <c r="L58" s="26" t="n">
        <v>549</v>
      </c>
      <c r="M58" s="26" t="n">
        <v>439</v>
      </c>
      <c r="N58" s="20" t="inlineStr">
        <is>
          <t>TMS-1000 License</t>
        </is>
      </c>
      <c r="O58" s="20" t="inlineStr">
        <is>
          <t>-</t>
        </is>
      </c>
      <c r="P58" s="20" t="inlineStr">
        <is>
          <t>-</t>
        </is>
      </c>
      <c r="Q58" s="24">
        <f>IF(P58="","",IFERROR(VLOOKUP(O58,FxRateTable,4,TRUE),""))</f>
        <v/>
      </c>
      <c r="R58" s="26">
        <f>IF(P58="","",H58)</f>
        <v/>
      </c>
      <c r="S58" s="26" t="n">
        <v>0</v>
      </c>
      <c r="T58" s="26" t="n">
        <v>0</v>
      </c>
      <c r="U58" s="21" t="n">
        <v>0</v>
      </c>
      <c r="V58" s="20" t="inlineStr">
        <is>
          <t>-</t>
        </is>
      </c>
      <c r="W58" s="26" t="n">
        <v>0</v>
      </c>
      <c r="X58" s="21" t="inlineStr">
        <is>
          <t>-</t>
        </is>
      </c>
      <c r="Y58" s="26" t="n">
        <v>0</v>
      </c>
      <c r="Z58" s="26">
        <f>S58+T58+W58</f>
        <v/>
      </c>
      <c r="AA58" s="26">
        <f>K58+L58+M58+IFERROR(VLOOKUP(B58,RemitTable2,9,FALSE),0)+Y58+Z58</f>
        <v/>
      </c>
      <c r="AB58" s="27" t="n">
        <v>1</v>
      </c>
      <c r="AC58" s="26">
        <f>ROUND(AA58/AB58,0)</f>
        <v/>
      </c>
      <c r="AD58" s="20" t="inlineStr">
        <is>
          <t>2026-03</t>
        </is>
      </c>
      <c r="AE58" s="184" t="inlineStr">
        <is>
          <t>2026-03-01</t>
        </is>
      </c>
      <c r="AF58" s="183" t="inlineStr">
        <is>
          <t>2027-02-28</t>
        </is>
      </c>
    </row>
    <row r="59">
      <c r="A59" s="20" t="n">
        <v>44</v>
      </c>
      <c r="B59" s="20" t="inlineStr">
        <is>
          <t>GPO471</t>
        </is>
      </c>
      <c r="C59" s="21" t="inlineStr">
        <is>
          <t>GDC</t>
        </is>
      </c>
      <c r="D59" s="20" t="inlineStr">
        <is>
          <t>Net 30 days</t>
        </is>
      </c>
      <c r="E59" s="21" t="inlineStr">
        <is>
          <t>라이센스</t>
        </is>
      </c>
      <c r="F59" s="183" t="n">
        <v>46088</v>
      </c>
      <c r="G59" s="184" t="n">
        <v>46113</v>
      </c>
      <c r="H59" s="24" t="n">
        <v>500</v>
      </c>
      <c r="I59" s="185" t="n">
        <v>1506.4</v>
      </c>
      <c r="J59" s="26" t="n">
        <v>753200</v>
      </c>
      <c r="K59" s="26" t="n">
        <v>753200</v>
      </c>
      <c r="L59" s="26" t="n">
        <v>763</v>
      </c>
      <c r="M59" s="26" t="n">
        <v>610</v>
      </c>
      <c r="N59" s="20" t="inlineStr">
        <is>
          <t>Dolby Atmos License</t>
        </is>
      </c>
      <c r="O59" s="20" t="inlineStr">
        <is>
          <t>-</t>
        </is>
      </c>
      <c r="P59" s="20" t="inlineStr">
        <is>
          <t>-</t>
        </is>
      </c>
      <c r="Q59" s="24">
        <f>IF(P59="","",IFERROR(VLOOKUP(O59,FxRateTable,4,TRUE),""))</f>
        <v/>
      </c>
      <c r="R59" s="26">
        <f>IF(P59="","",H59)</f>
        <v/>
      </c>
      <c r="S59" s="26" t="n">
        <v>0</v>
      </c>
      <c r="T59" s="26" t="n">
        <v>0</v>
      </c>
      <c r="U59" s="21" t="n">
        <v>0</v>
      </c>
      <c r="V59" s="20" t="inlineStr">
        <is>
          <t>-</t>
        </is>
      </c>
      <c r="W59" s="26" t="n">
        <v>0</v>
      </c>
      <c r="X59" s="21" t="inlineStr">
        <is>
          <t>-</t>
        </is>
      </c>
      <c r="Y59" s="26" t="n">
        <v>0</v>
      </c>
      <c r="Z59" s="26">
        <f>S59+T59+W59</f>
        <v/>
      </c>
      <c r="AA59" s="26">
        <f>K59+L59+M59+IFERROR(VLOOKUP(B59,RemitTable2,9,FALSE),0)+Y59+Z59</f>
        <v/>
      </c>
      <c r="AB59" s="27" t="n">
        <v>1</v>
      </c>
      <c r="AC59" s="26">
        <f>ROUND(AA59/AB59,0)</f>
        <v/>
      </c>
      <c r="AD59" s="20" t="inlineStr">
        <is>
          <t>2026-03</t>
        </is>
      </c>
      <c r="AE59" s="184" t="inlineStr">
        <is>
          <t>-</t>
        </is>
      </c>
      <c r="AF59" s="183" t="inlineStr">
        <is>
          <t>-</t>
        </is>
      </c>
    </row>
    <row r="60">
      <c r="A60" s="20" t="n">
        <v>45</v>
      </c>
      <c r="B60" s="20" t="inlineStr">
        <is>
          <t>CPO694</t>
        </is>
      </c>
      <c r="C60" s="21" t="inlineStr">
        <is>
          <t>Christie</t>
        </is>
      </c>
      <c r="D60" s="20" t="inlineStr">
        <is>
          <t>Net 45 days</t>
        </is>
      </c>
      <c r="E60" s="21" t="inlineStr">
        <is>
          <t>워런티(EW)</t>
        </is>
      </c>
      <c r="F60" s="183" t="n">
        <v>46109</v>
      </c>
      <c r="G60" s="184" t="n">
        <v>46146</v>
      </c>
      <c r="H60" s="24" t="n">
        <v>17404</v>
      </c>
      <c r="I60" s="185" t="n">
        <v>1474.9</v>
      </c>
      <c r="J60" s="26" t="n">
        <v>25669160</v>
      </c>
      <c r="K60" s="26" t="n">
        <v>25669160</v>
      </c>
      <c r="L60" s="26" t="n">
        <v>10147</v>
      </c>
      <c r="M60" s="26" t="n">
        <v>6494</v>
      </c>
      <c r="N60" s="20" t="inlineStr">
        <is>
          <t>EW (CGV 동백 외)</t>
        </is>
      </c>
      <c r="O60" s="20" t="inlineStr">
        <is>
          <t>-</t>
        </is>
      </c>
      <c r="P60" s="20" t="inlineStr">
        <is>
          <t>-</t>
        </is>
      </c>
      <c r="Q60" s="24">
        <f>IF(P60="","",IFERROR(VLOOKUP(O60,FxRateTable,4,TRUE),""))</f>
        <v/>
      </c>
      <c r="R60" s="26">
        <f>IF(P60="","",H60)</f>
        <v/>
      </c>
      <c r="S60" s="26" t="n">
        <v>0</v>
      </c>
      <c r="T60" s="26" t="n">
        <v>0</v>
      </c>
      <c r="U60" s="21" t="n">
        <v>0</v>
      </c>
      <c r="V60" s="20" t="inlineStr">
        <is>
          <t>-</t>
        </is>
      </c>
      <c r="W60" s="26" t="n">
        <v>0</v>
      </c>
      <c r="X60" s="21" t="inlineStr">
        <is>
          <t>-</t>
        </is>
      </c>
      <c r="Y60" s="26" t="n">
        <v>0</v>
      </c>
      <c r="Z60" s="26">
        <f>S60+T60+W60</f>
        <v/>
      </c>
      <c r="AA60" s="26">
        <f>K60+L60+M60+IFERROR(VLOOKUP(B60,RemitTable2,9,FALSE),0)+Y60+Z60</f>
        <v/>
      </c>
      <c r="AB60" s="27" t="n">
        <v>1</v>
      </c>
      <c r="AC60" s="26">
        <f>ROUND(AA60/AB60,0)</f>
        <v/>
      </c>
      <c r="AD60" s="20" t="inlineStr">
        <is>
          <t>2026-04</t>
        </is>
      </c>
      <c r="AE60" s="184" t="inlineStr">
        <is>
          <t>2026-04-01</t>
        </is>
      </c>
      <c r="AF60" s="183" t="inlineStr">
        <is>
          <t>2027-03-31</t>
        </is>
      </c>
    </row>
    <row r="61">
      <c r="A61" s="85" t="n">
        <v>46</v>
      </c>
      <c r="B61" s="85" t="inlineStr">
        <is>
          <t>CPO697</t>
        </is>
      </c>
      <c r="C61" s="85" t="inlineStr">
        <is>
          <t>Christie</t>
        </is>
      </c>
      <c r="D61" s="85" t="inlineStr">
        <is>
          <t>Net 45 days</t>
        </is>
      </c>
      <c r="E61" s="85" t="inlineStr">
        <is>
          <t>워런티(EW)</t>
        </is>
      </c>
      <c r="F61" s="186" t="n">
        <v>46136</v>
      </c>
      <c r="G61" s="186" t="n">
        <v>46171</v>
      </c>
      <c r="H61" s="87" t="n">
        <v>15289</v>
      </c>
      <c r="I61" s="187" t="n">
        <v>1502.7</v>
      </c>
      <c r="J61" s="89" t="n">
        <v>22974780</v>
      </c>
      <c r="K61" s="89" t="n">
        <v>22974780</v>
      </c>
      <c r="L61" s="89" t="n">
        <v>1880</v>
      </c>
      <c r="M61" s="89" t="n">
        <v>1203</v>
      </c>
      <c r="N61" s="85" t="inlineStr">
        <is>
          <t>EW CP4425/CP2308/CP2315/CP2309/CP2320 13대 (메가박스 북대구 외)</t>
        </is>
      </c>
      <c r="O61" s="186" t="inlineStr">
        <is>
          <t>-</t>
        </is>
      </c>
      <c r="P61" s="85" t="inlineStr">
        <is>
          <t>-</t>
        </is>
      </c>
      <c r="Q61" s="87">
        <f>IF(P61="","",IFERROR(VLOOKUP(O61,FxRateTable,4,TRUE),""))</f>
        <v/>
      </c>
      <c r="R61" s="87">
        <f>IF(P61="","",H61)</f>
        <v/>
      </c>
      <c r="S61" s="89" t="n">
        <v>0</v>
      </c>
      <c r="T61" s="89" t="n">
        <v>0</v>
      </c>
      <c r="U61" s="186" t="n"/>
      <c r="V61" s="85" t="inlineStr">
        <is>
          <t>-</t>
        </is>
      </c>
      <c r="W61" s="89" t="n">
        <v>0</v>
      </c>
      <c r="X61" s="85" t="inlineStr">
        <is>
          <t>-</t>
        </is>
      </c>
      <c r="Y61" s="89" t="n">
        <v>0</v>
      </c>
      <c r="Z61" s="89">
        <f>S61+T61+W61</f>
        <v/>
      </c>
      <c r="AA61" s="89">
        <f>K61+L61+M61+IFERROR(VLOOKUP(B61,RemitTable2,9,FALSE),0)+Y61+Z61</f>
        <v/>
      </c>
      <c r="AB61" s="90" t="n">
        <v>1</v>
      </c>
      <c r="AC61" s="89">
        <f>ROUND(AA61/AB61,0)</f>
        <v/>
      </c>
      <c r="AD61" s="85" t="inlineStr">
        <is>
          <t>2026-04</t>
        </is>
      </c>
      <c r="AE61" s="186" t="n">
        <v>46168</v>
      </c>
      <c r="AF61" s="186" t="n">
        <v>46532</v>
      </c>
    </row>
    <row r="62">
      <c r="A62" s="85" t="n">
        <v>47</v>
      </c>
      <c r="B62" s="85" t="inlineStr">
        <is>
          <t>CPO693-2</t>
        </is>
      </c>
      <c r="C62" s="85" t="inlineStr">
        <is>
          <t>Christie</t>
        </is>
      </c>
      <c r="D62" s="85" t="inlineStr">
        <is>
          <t>Net 45 days</t>
        </is>
      </c>
      <c r="E62" s="85" t="inlineStr">
        <is>
          <t>워런티(EW)</t>
        </is>
      </c>
      <c r="F62" s="186" t="n">
        <v>46133</v>
      </c>
      <c r="G62" s="186" t="inlineStr">
        <is>
          <t>-</t>
        </is>
      </c>
      <c r="H62" s="87" t="n">
        <v>2550</v>
      </c>
      <c r="I62" s="187">
        <f>IFERROR(VLOOKUP(B62,RemitTable2,7,FALSE),0)</f>
        <v/>
      </c>
      <c r="J62" s="89" t="n">
        <v>0</v>
      </c>
      <c r="K62" s="89">
        <f>IFERROR(ROUND(H62*I62,0),0)</f>
        <v/>
      </c>
      <c r="L62" s="89">
        <f>IFERROR(VLOOKUP(B62,RemitTable2,10,FALSE),0)</f>
        <v/>
      </c>
      <c r="M62" s="89">
        <f>IFERROR(VLOOKUP(B62,RemitTable2,11,FALSE),0)</f>
        <v/>
      </c>
      <c r="N62" s="85" t="inlineStr">
        <is>
          <t>CP4420-RGB 2년 워런티 (CGV 구미)</t>
        </is>
      </c>
      <c r="O62" s="186" t="inlineStr">
        <is>
          <t>-</t>
        </is>
      </c>
      <c r="P62" s="85" t="inlineStr">
        <is>
          <t>-</t>
        </is>
      </c>
      <c r="Q62" s="87">
        <f>IF(P62="","",IFERROR(VLOOKUP(O62,FxRateTable,4,TRUE),""))</f>
        <v/>
      </c>
      <c r="R62" s="87">
        <f>IF(P62="","",H62)</f>
        <v/>
      </c>
      <c r="S62" s="89" t="n">
        <v>0</v>
      </c>
      <c r="T62" s="89" t="n">
        <v>0</v>
      </c>
      <c r="U62" s="186" t="n"/>
      <c r="V62" s="85" t="inlineStr">
        <is>
          <t>-</t>
        </is>
      </c>
      <c r="W62" s="89" t="n">
        <v>0</v>
      </c>
      <c r="X62" s="85" t="inlineStr">
        <is>
          <t>-</t>
        </is>
      </c>
      <c r="Y62" s="89" t="n">
        <v>0</v>
      </c>
      <c r="Z62" s="89">
        <f>S62+T62+W62</f>
        <v/>
      </c>
      <c r="AA62" s="89">
        <f>K62+L62+M62+IFERROR(VLOOKUP(B62,RemitTable2,9,FALSE),0)+Y62+Z62</f>
        <v/>
      </c>
      <c r="AB62" s="90" t="n">
        <v>1</v>
      </c>
      <c r="AC62" s="89">
        <f>ROUND(AA62/AB62,0)</f>
        <v/>
      </c>
      <c r="AD62" s="85" t="inlineStr">
        <is>
          <t>2026-04</t>
        </is>
      </c>
      <c r="AE62" s="186" t="n">
        <v>46142</v>
      </c>
      <c r="AF62" s="186" t="n">
        <v>46872</v>
      </c>
    </row>
    <row r="63">
      <c r="A63" s="132" t="n">
        <v>54</v>
      </c>
      <c r="B63" s="132" t="inlineStr">
        <is>
          <t>GPO478</t>
        </is>
      </c>
      <c r="C63" s="132" t="inlineStr">
        <is>
          <t>GDC</t>
        </is>
      </c>
      <c r="D63" s="132" t="inlineStr">
        <is>
          <t>Net 30 days</t>
        </is>
      </c>
      <c r="E63" s="132" t="inlineStr">
        <is>
          <t>라이센스</t>
        </is>
      </c>
      <c r="F63" s="188" t="n">
        <v>46127</v>
      </c>
      <c r="G63" s="188" t="n">
        <v>46161</v>
      </c>
      <c r="H63" s="134" t="n">
        <v>180</v>
      </c>
      <c r="I63" s="134" t="n">
        <v>1518.9</v>
      </c>
      <c r="J63" s="136" t="n">
        <v>273402</v>
      </c>
      <c r="K63" s="136" t="n">
        <v>273402</v>
      </c>
      <c r="L63" s="136" t="n">
        <v>2500</v>
      </c>
      <c r="M63" s="136" t="n">
        <v>8000</v>
      </c>
      <c r="N63" s="137" t="n"/>
      <c r="O63" s="137" t="n"/>
      <c r="P63" s="137" t="n"/>
      <c r="Q63" s="134">
        <f>IF(P63="","",IFERROR(VLOOKUP(O63,FxRateTable,4,TRUE),""))</f>
        <v/>
      </c>
      <c r="R63" s="134">
        <f>IF(P63="","",H63)</f>
        <v/>
      </c>
      <c r="S63" s="136" t="n">
        <v>0</v>
      </c>
      <c r="T63" s="136" t="n">
        <v>0</v>
      </c>
      <c r="U63" s="137" t="n"/>
      <c r="V63" s="137" t="n"/>
      <c r="W63" s="136" t="n">
        <v>0</v>
      </c>
      <c r="X63" s="132" t="inlineStr">
        <is>
          <t>-</t>
        </is>
      </c>
      <c r="Y63" s="136" t="n">
        <v>0</v>
      </c>
      <c r="Z63" s="136">
        <f>S63+T63+W63</f>
        <v/>
      </c>
      <c r="AA63" s="136">
        <f>K63+L63+M63+IFERROR(VLOOKUP(B63,RemitTable2,9,FALSE),0)+Y63+Z63</f>
        <v/>
      </c>
      <c r="AB63" s="168" t="n">
        <v>2</v>
      </c>
      <c r="AC63" s="136">
        <f>ROUND(AA63/AB63,0)</f>
        <v/>
      </c>
      <c r="AD63" s="137" t="inlineStr">
        <is>
          <t>2026-05</t>
        </is>
      </c>
      <c r="AE63" s="189" t="n">
        <v>46143</v>
      </c>
      <c r="AF63" s="189" t="n">
        <v>46507</v>
      </c>
    </row>
    <row r="64">
      <c r="A64" s="132" t="n">
        <v>55</v>
      </c>
      <c r="B64" s="132" t="inlineStr">
        <is>
          <t>GPO480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46137</v>
      </c>
      <c r="G64" s="188" t="n">
        <v>46171</v>
      </c>
      <c r="H64" s="134" t="n">
        <v>250</v>
      </c>
      <c r="I64" s="134" t="n">
        <v>1502.8</v>
      </c>
      <c r="J64" s="136" t="n">
        <v>375700</v>
      </c>
      <c r="K64" s="136" t="n">
        <v>375700</v>
      </c>
      <c r="L64" s="136" t="n">
        <v>32</v>
      </c>
      <c r="M64" s="136" t="n">
        <v>20</v>
      </c>
      <c r="N64" s="137" t="n"/>
      <c r="O64" s="137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37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S64+T64+W64</f>
        <v/>
      </c>
      <c r="AA64" s="136">
        <f>K64+L64+M64+IFERROR(VLOOKUP(B64,RemitTable2,9,FALSE),0)+Y64+Z64</f>
        <v/>
      </c>
      <c r="AB64" s="168" t="n">
        <v>1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49795</v>
      </c>
    </row>
    <row r="65">
      <c r="A65" s="132" t="n">
        <v>56</v>
      </c>
      <c r="B65" s="132" t="inlineStr">
        <is>
          <t>GPO481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46152</v>
      </c>
      <c r="G65" s="233" t="n">
        <v>46183</v>
      </c>
      <c r="H65" s="134" t="n">
        <v>500</v>
      </c>
      <c r="I65" s="134" t="n">
        <v>1525.3</v>
      </c>
      <c r="J65" s="136" t="n">
        <v>762650</v>
      </c>
      <c r="K65" s="136" t="n">
        <v>762650</v>
      </c>
      <c r="L65" s="136" t="n">
        <v>52</v>
      </c>
      <c r="M65" s="136" t="n">
        <v>34</v>
      </c>
      <c r="N65" s="137" t="n"/>
      <c r="O65" s="137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37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S65+T65+W65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2026-06</t>
        </is>
      </c>
      <c r="AE65" s="137" t="inlineStr">
        <is>
          <t>-</t>
        </is>
      </c>
      <c r="AF65" s="137" t="inlineStr">
        <is>
          <t>-</t>
        </is>
      </c>
    </row>
    <row r="66">
      <c r="A66" s="132" t="n">
        <v>65</v>
      </c>
      <c r="B66" s="132" t="inlineStr">
        <is>
          <t>GPO475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46127</v>
      </c>
      <c r="G66" s="188" t="n">
        <v>46190</v>
      </c>
      <c r="H66" s="134" t="n">
        <v>540</v>
      </c>
      <c r="I66" s="134" t="n">
        <v>1516.8</v>
      </c>
      <c r="J66" s="136" t="n">
        <v>819072</v>
      </c>
      <c r="K66" s="136" t="n">
        <v>819072</v>
      </c>
      <c r="L66" s="136" t="n">
        <v>1985</v>
      </c>
      <c r="M66" s="136" t="n">
        <v>2118</v>
      </c>
      <c r="N66" s="137" t="inlineStr">
        <is>
          <t>TMS-1000 License 6 screens (CGV 안동)</t>
        </is>
      </c>
      <c r="O66" s="137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37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S66+T66+W66</f>
        <v/>
      </c>
      <c r="AA66" s="136">
        <f>K66+L66+M66+IFERROR(VLOOKUP(B66,RemitTable2,9,FALSE),0)+Y66+Z66</f>
        <v/>
      </c>
      <c r="AB66" s="168" t="n">
        <v>6</v>
      </c>
      <c r="AC66" s="136">
        <f>ROUND(AA66/AB66,0)</f>
        <v/>
      </c>
      <c r="AD66" s="137" t="inlineStr">
        <is>
          <t>2026-05</t>
        </is>
      </c>
      <c r="AE66" s="189" t="n">
        <v>46143</v>
      </c>
      <c r="AF66" s="189" t="n">
        <v>46507</v>
      </c>
    </row>
    <row r="67">
      <c r="A67" s="12" t="n">
        <v>48</v>
      </c>
      <c r="B67" s="12" t="inlineStr">
        <is>
          <t>CPO688</t>
        </is>
      </c>
      <c r="C67" s="13" t="inlineStr">
        <is>
          <t>Christie</t>
        </is>
      </c>
      <c r="D67" s="12" t="inlineStr">
        <is>
          <t>Net 45 days</t>
        </is>
      </c>
      <c r="E67" s="13" t="inlineStr">
        <is>
          <t>Inspection</t>
        </is>
      </c>
      <c r="F67" s="176" t="n">
        <v>46037</v>
      </c>
      <c r="G67" s="177" t="inlineStr">
        <is>
          <t>-</t>
        </is>
      </c>
      <c r="H67" s="16" t="n">
        <v>4180</v>
      </c>
      <c r="I67" s="178">
        <f>IFERROR(VLOOKUP(B67,RemitTable2,7,FALSE),0)</f>
        <v/>
      </c>
      <c r="J67" s="18" t="n">
        <v>0</v>
      </c>
      <c r="K67" s="18">
        <f>IFERROR(ROUND(H67*I67,0),0)</f>
        <v/>
      </c>
      <c r="L67" s="18">
        <f>IFERROR(VLOOKUP(B67,RemitTable2,10,FALSE),0)</f>
        <v/>
      </c>
      <c r="M67" s="18">
        <f>IFERROR(VLOOKUP(B67,RemitTable2,11,FALSE),0)</f>
        <v/>
      </c>
      <c r="N67" s="12" t="inlineStr">
        <is>
          <t>Inspection fee</t>
        </is>
      </c>
      <c r="O67" s="12" t="inlineStr">
        <is>
          <t>-</t>
        </is>
      </c>
      <c r="P67" s="12" t="inlineStr">
        <is>
          <t>-</t>
        </is>
      </c>
      <c r="Q67" s="16">
        <f>IF(P67="","",IFERROR(VLOOKUP(O67,FxRateTable,4,TRUE),""))</f>
        <v/>
      </c>
      <c r="R67" s="18">
        <f>IF(P67="","",H67)</f>
        <v/>
      </c>
      <c r="S67" s="18" t="n">
        <v>0</v>
      </c>
      <c r="T67" s="18" t="n">
        <v>0</v>
      </c>
      <c r="U67" s="13" t="n">
        <v>0</v>
      </c>
      <c r="V67" s="12" t="inlineStr">
        <is>
          <t>-</t>
        </is>
      </c>
      <c r="W67" s="18" t="n">
        <v>0</v>
      </c>
      <c r="X67" s="13" t="inlineStr">
        <is>
          <t>-</t>
        </is>
      </c>
      <c r="Y67" s="18" t="n">
        <v>0</v>
      </c>
      <c r="Z67" s="18">
        <f>S67+T67+W67</f>
        <v/>
      </c>
      <c r="AA67" s="18">
        <f>K67+L67+M67+IFERROR(VLOOKUP(B67,RemitTable2,9,FALSE),0)+Y67+Z67</f>
        <v/>
      </c>
      <c r="AB67" s="19" t="n">
        <v>1</v>
      </c>
      <c r="AC67" s="18">
        <f>ROUND(AA67/AB67,0)</f>
        <v/>
      </c>
      <c r="AD67" s="12" t="inlineStr">
        <is>
          <t>2026-01</t>
        </is>
      </c>
      <c r="AE67" s="177" t="inlineStr">
        <is>
          <t>-</t>
        </is>
      </c>
      <c r="AF67" s="176" t="inlineStr">
        <is>
          <t>-</t>
        </is>
      </c>
    </row>
    <row r="68">
      <c r="A68" s="12" t="n">
        <v>49</v>
      </c>
      <c r="B68" s="12" t="inlineStr">
        <is>
          <t>SX3000수리</t>
        </is>
      </c>
      <c r="C68" s="13" t="inlineStr">
        <is>
          <t>GDC</t>
        </is>
      </c>
      <c r="D68" s="12" t="inlineStr">
        <is>
          <t>-</t>
        </is>
      </c>
      <c r="E68" s="13" t="inlineStr">
        <is>
          <t>수리반환</t>
        </is>
      </c>
      <c r="F68" s="176" t="n"/>
      <c r="G68" s="177" t="inlineStr">
        <is>
          <t>-</t>
        </is>
      </c>
      <c r="H68" s="16" t="n">
        <v>400</v>
      </c>
      <c r="I68" s="178">
        <f>IFERROR(VLOOKUP(B68,RemitTable2,7,FALSE),0)</f>
        <v/>
      </c>
      <c r="J68" s="18" t="n">
        <v>0</v>
      </c>
      <c r="K68" s="18">
        <f>IFERROR(ROUND(H68*I68,0),0)</f>
        <v/>
      </c>
      <c r="L68" s="18">
        <f>IFERROR(VLOOKUP(B68,RemitTable2,10,FALSE),0)</f>
        <v/>
      </c>
      <c r="M68" s="18">
        <f>IFERROR(VLOOKUP(B68,RemitTable2,11,FALSE),0)</f>
        <v/>
      </c>
      <c r="N68" s="12" t="inlineStr">
        <is>
          <t>Display Card (수리반환 5PCS)</t>
        </is>
      </c>
      <c r="O68" s="177" t="n">
        <v>46125</v>
      </c>
      <c r="P68" s="12" t="inlineStr">
        <is>
          <t>22356-26-351613M</t>
        </is>
      </c>
      <c r="Q68" s="16">
        <f>IF(P68="","",IFERROR(VLOOKUP(O68,FxRateTable,4,TRUE),""))</f>
        <v/>
      </c>
      <c r="R68" s="18">
        <f>IF(P68="","",H68)</f>
        <v/>
      </c>
      <c r="S68" s="18" t="n">
        <v>0</v>
      </c>
      <c r="T68" s="18" t="n">
        <v>67750</v>
      </c>
      <c r="U68" s="13" t="n"/>
      <c r="V68" s="12" t="inlineStr">
        <is>
          <t>운서합동</t>
        </is>
      </c>
      <c r="W68" s="18" t="n">
        <v>0</v>
      </c>
      <c r="X68" s="13" t="inlineStr">
        <is>
          <t>DHL</t>
        </is>
      </c>
      <c r="Y68" s="18" t="n">
        <v>216006</v>
      </c>
      <c r="Z68" s="18">
        <f>S68+T68+W68</f>
        <v/>
      </c>
      <c r="AA68" s="18">
        <f>K68+L68+M68+IFERROR(VLOOKUP(B68,RemitTable2,9,FALSE),0)+Y68+Z68</f>
        <v/>
      </c>
      <c r="AB68" s="19" t="n">
        <v>5</v>
      </c>
      <c r="AC68" s="18">
        <f>ROUND(AA68/AB68,0)</f>
        <v/>
      </c>
      <c r="AD68" s="12" t="inlineStr">
        <is>
          <t>2026-04</t>
        </is>
      </c>
      <c r="AE68" s="177" t="n"/>
      <c r="AF68" s="176" t="n"/>
    </row>
    <row r="69">
      <c r="A69" s="216" t="n">
        <v>59</v>
      </c>
      <c r="B69" s="216" t="inlineStr">
        <is>
          <t>FRC-MONOPLEX26</t>
        </is>
      </c>
      <c r="C69" s="217" t="inlineStr">
        <is>
          <t>Ferco</t>
        </is>
      </c>
      <c r="D69" s="216" t="inlineStr">
        <is>
          <t>50% TT advance + 50% balance</t>
        </is>
      </c>
      <c r="E69" s="217" t="inlineStr">
        <is>
          <t>기타</t>
        </is>
      </c>
      <c r="F69" s="218" t="n">
        <v>46048</v>
      </c>
      <c r="G69" s="219" t="n">
        <v>46133</v>
      </c>
      <c r="H69" s="220" t="n">
        <v>51952</v>
      </c>
      <c r="I69" s="221">
        <f>IFERROR(VLOOKUP(B69,RemitTable2,7,FALSE),0)</f>
        <v/>
      </c>
      <c r="J69" s="222" t="n">
        <v>75818749</v>
      </c>
      <c r="K69" s="222" t="n">
        <v>75818749</v>
      </c>
      <c r="L69" s="222" t="n">
        <v>25000</v>
      </c>
      <c r="M69" s="222" t="n">
        <v>16000</v>
      </c>
      <c r="N69" s="216" t="inlineStr">
        <is>
          <t>Cinema Seat (Recliner) / 44 EA / Monoplex DH Bangbae</t>
        </is>
      </c>
      <c r="O69" s="219" t="n">
        <v>46153</v>
      </c>
      <c r="P69" s="216" t="inlineStr">
        <is>
          <t>14008-26-101147M</t>
        </is>
      </c>
      <c r="Q69" s="220">
        <f>IF(P69="","",IFERROR(VLOOKUP(O69,FxRateTable,4,TRUE),""))</f>
        <v/>
      </c>
      <c r="R69" s="220">
        <f>IF(P69="","",H69)</f>
        <v/>
      </c>
      <c r="S69" s="222" t="n">
        <v>31050</v>
      </c>
      <c r="T69" s="222" t="n">
        <v>7959560</v>
      </c>
      <c r="U69" s="218" t="n"/>
      <c r="V69" s="216" t="inlineStr">
        <is>
          <t>조운관세사무소</t>
        </is>
      </c>
      <c r="W69" s="222" t="n">
        <v>250000</v>
      </c>
      <c r="X69" s="217" t="inlineStr">
        <is>
          <t>진로직스</t>
        </is>
      </c>
      <c r="Y69" s="222" t="n">
        <v>5002612</v>
      </c>
      <c r="Z69" s="222">
        <f>S69+T69+W69</f>
        <v/>
      </c>
      <c r="AA69" s="222">
        <f>K69+L69+M69+IFERROR(VLOOKUP(B69,RemitTable2,9,FALSE),0)+Y69+Z69</f>
        <v/>
      </c>
      <c r="AB69" s="223" t="n">
        <v>44</v>
      </c>
      <c r="AC69" s="222">
        <f>ROUND(AA69/AB69,0)</f>
        <v/>
      </c>
      <c r="AD69" s="216" t="inlineStr">
        <is>
          <t>2026-05</t>
        </is>
      </c>
      <c r="AE69" s="216" t="n"/>
      <c r="AF69" s="217" t="n"/>
    </row>
    <row r="70">
      <c r="A70" s="284" t="n">
        <v>66</v>
      </c>
      <c r="B70" s="284" t="inlineStr">
        <is>
          <t>GPO475-수리</t>
        </is>
      </c>
      <c r="C70" s="285" t="inlineStr">
        <is>
          <t>GDC</t>
        </is>
      </c>
      <c r="D70" s="284" t="inlineStr">
        <is>
          <t>Net 30 days</t>
        </is>
      </c>
      <c r="E70" s="285" t="inlineStr">
        <is>
          <t>수리</t>
        </is>
      </c>
      <c r="F70" s="286" t="n">
        <v>46126</v>
      </c>
      <c r="G70" s="287" t="n">
        <v>46190</v>
      </c>
      <c r="H70" s="288" t="n">
        <v>1500</v>
      </c>
      <c r="I70" s="289" t="n">
        <v>1516.8</v>
      </c>
      <c r="J70" s="290" t="n">
        <v>2275200</v>
      </c>
      <c r="K70" s="290" t="n">
        <v>2275200</v>
      </c>
      <c r="L70" s="290" t="n">
        <v>5515</v>
      </c>
      <c r="M70" s="290" t="n">
        <v>5882</v>
      </c>
      <c r="N70" s="284" t="inlineStr">
        <is>
          <t>SR-1000 IMB Inspection+Repair (SN A78267)</t>
        </is>
      </c>
      <c r="O70" s="287" t="n"/>
      <c r="P70" s="284" t="n"/>
      <c r="Q70" s="288">
        <f>IF(P70="","",IFERROR(VLOOKUP(O70,FxRateTable,4,TRUE),""))</f>
        <v/>
      </c>
      <c r="R70" s="290">
        <f>IF(P70="","",H70)</f>
        <v/>
      </c>
      <c r="S70" s="290" t="n">
        <v>0</v>
      </c>
      <c r="T70" s="290" t="n">
        <v>0</v>
      </c>
      <c r="U70" s="285" t="n"/>
      <c r="V70" s="284" t="n"/>
      <c r="W70" s="290" t="n">
        <v>0</v>
      </c>
      <c r="X70" s="285" t="inlineStr">
        <is>
          <t>-</t>
        </is>
      </c>
      <c r="Y70" s="290" t="n">
        <v>0</v>
      </c>
      <c r="Z70" s="290">
        <f>S70+T70+W70</f>
        <v/>
      </c>
      <c r="AA70" s="290">
        <f>K70+L70+M70+IFERROR(VLOOKUP(B70,RemitTable2,9,FALSE),0)+Y70+Z70</f>
        <v/>
      </c>
      <c r="AB70" s="291" t="n">
        <v>1</v>
      </c>
      <c r="AC70" s="290">
        <f>ROUND(AA70/AB70,0)</f>
        <v/>
      </c>
      <c r="AD70" s="284" t="n"/>
      <c r="AE70" s="287" t="n"/>
      <c r="AF70" s="286" t="n"/>
    </row>
    <row r="71">
      <c r="A71" s="147" t="inlineStr">
        <is>
          <t>장비/부품 합계</t>
        </is>
      </c>
      <c r="B71" s="148" t="n"/>
      <c r="C71" s="148" t="n"/>
      <c r="D71" s="148" t="n"/>
      <c r="E71" s="148" t="n"/>
      <c r="F71" s="148" t="n"/>
      <c r="G71" s="149" t="n"/>
      <c r="H71" s="142">
        <f>SUBTOTAL(9,H5:H43)</f>
        <v/>
      </c>
      <c r="I71" s="141" t="n"/>
      <c r="J71" s="142">
        <f>SUBTOTAL(9,J5:J39)</f>
        <v/>
      </c>
      <c r="K71" s="142">
        <f>SUBTOTAL(9,K5:K43)</f>
        <v/>
      </c>
      <c r="L71" s="142">
        <f>SUBTOTAL(9,L5:L43)</f>
        <v/>
      </c>
      <c r="M71" s="142">
        <f>SUBTOTAL(9,M5:M43)</f>
        <v/>
      </c>
      <c r="N71" s="141" t="n"/>
      <c r="O71" s="141" t="n"/>
      <c r="P71" s="141" t="n"/>
      <c r="Q71" s="142" t="n"/>
      <c r="R71" s="140" t="n"/>
      <c r="S71" s="142">
        <f>SUBTOTAL(9,S5:S43)</f>
        <v/>
      </c>
      <c r="T71" s="142">
        <f>SUBTOTAL(9,T5:T43)</f>
        <v/>
      </c>
      <c r="U71" s="141" t="n"/>
      <c r="V71" s="141" t="n"/>
      <c r="W71" s="142">
        <f>SUBTOTAL(9,W5:W43)</f>
        <v/>
      </c>
      <c r="X71" s="147" t="n"/>
      <c r="Y71" s="142">
        <f>SUBTOTAL(9,Y5:Y43)</f>
        <v/>
      </c>
      <c r="Z71" s="142">
        <f>SUBTOTAL(9,Z5:Z43)</f>
        <v/>
      </c>
      <c r="AA71" s="142">
        <f>SUBTOTAL(9,AA5:AA43)</f>
        <v/>
      </c>
      <c r="AB71" s="147" t="n"/>
      <c r="AC71" s="141" t="n"/>
      <c r="AD71" s="141" t="n"/>
      <c r="AE71" s="141" t="n"/>
      <c r="AF71" s="141" t="n"/>
    </row>
    <row r="72">
      <c r="A72" s="147" t="inlineStr">
        <is>
          <t>라이센스/워런티 합계</t>
        </is>
      </c>
      <c r="B72" s="148" t="n"/>
      <c r="C72" s="148" t="n"/>
      <c r="D72" s="148" t="n"/>
      <c r="E72" s="148" t="n"/>
      <c r="F72" s="148" t="n"/>
      <c r="G72" s="149" t="n"/>
      <c r="H72" s="142">
        <f>SUBTOTAL(9,H44:H66)</f>
        <v/>
      </c>
      <c r="I72" s="141" t="n"/>
      <c r="J72" s="142">
        <f>SUBTOTAL(9,J40:J61)</f>
        <v/>
      </c>
      <c r="K72" s="142">
        <f>SUBTOTAL(9,K44:K66)</f>
        <v/>
      </c>
      <c r="L72" s="142">
        <f>SUBTOTAL(9,L44:L66)</f>
        <v/>
      </c>
      <c r="M72" s="142">
        <f>SUBTOTAL(9,M44:M66)</f>
        <v/>
      </c>
      <c r="N72" s="141" t="n"/>
      <c r="O72" s="141" t="n"/>
      <c r="P72" s="141" t="n"/>
      <c r="Q72" s="142" t="n"/>
      <c r="R72" s="140" t="n"/>
      <c r="S72" s="142">
        <f>SUBTOTAL(9,S44:S66)</f>
        <v/>
      </c>
      <c r="T72" s="142">
        <f>SUBTOTAL(9,T44:T66)</f>
        <v/>
      </c>
      <c r="U72" s="141" t="n"/>
      <c r="V72" s="141" t="n"/>
      <c r="W72" s="142">
        <f>SUBTOTAL(9,W44:W66)</f>
        <v/>
      </c>
      <c r="X72" s="147" t="n"/>
      <c r="Y72" s="142">
        <f>SUBTOTAL(9,Y44:Y66)</f>
        <v/>
      </c>
      <c r="Z72" s="142">
        <f>SUBTOTAL(9,Z44:Z66)</f>
        <v/>
      </c>
      <c r="AA72" s="142">
        <f>SUBTOTAL(9,AA44:AA66)</f>
        <v/>
      </c>
      <c r="AB72" s="147" t="n"/>
      <c r="AC72" s="141" t="n"/>
      <c r="AD72" s="141" t="n"/>
      <c r="AE72" s="141" t="n"/>
      <c r="AF72" s="141" t="n"/>
    </row>
    <row r="73">
      <c r="A73" s="147" t="inlineStr">
        <is>
          <t>기타 합계</t>
        </is>
      </c>
      <c r="B73" s="148" t="n"/>
      <c r="C73" s="148" t="n"/>
      <c r="D73" s="148" t="n"/>
      <c r="E73" s="148" t="n"/>
      <c r="F73" s="148" t="n"/>
      <c r="G73" s="149" t="n"/>
      <c r="H73" s="142">
        <f>SUBTOTAL(9,H67:H70)</f>
        <v/>
      </c>
      <c r="I73" s="141" t="n"/>
      <c r="J73" s="142">
        <f>SUBTOTAL(9,J62:J64)</f>
        <v/>
      </c>
      <c r="K73" s="142">
        <f>SUBTOTAL(9,K67:K70)</f>
        <v/>
      </c>
      <c r="L73" s="142">
        <f>SUBTOTAL(9,L67:L70)</f>
        <v/>
      </c>
      <c r="M73" s="142">
        <f>SUBTOTAL(9,M67:M70)</f>
        <v/>
      </c>
      <c r="N73" s="141" t="n"/>
      <c r="O73" s="141" t="n"/>
      <c r="P73" s="141" t="n"/>
      <c r="Q73" s="142" t="n"/>
      <c r="R73" s="140" t="n"/>
      <c r="S73" s="142">
        <f>SUBTOTAL(9,S67:S70)</f>
        <v/>
      </c>
      <c r="T73" s="142">
        <f>SUBTOTAL(9,T67:T70)</f>
        <v/>
      </c>
      <c r="U73" s="141" t="n"/>
      <c r="V73" s="141" t="n"/>
      <c r="W73" s="142">
        <f>SUBTOTAL(9,W67:W70)</f>
        <v/>
      </c>
      <c r="X73" s="147" t="n"/>
      <c r="Y73" s="142">
        <f>SUBTOTAL(9,Y67:Y70)</f>
        <v/>
      </c>
      <c r="Z73" s="142">
        <f>SUBTOTAL(9,Z67:Z70)</f>
        <v/>
      </c>
      <c r="AA73" s="142">
        <f>SUBTOTAL(9,AA67:AA70)</f>
        <v/>
      </c>
      <c r="AB73" s="147" t="n"/>
      <c r="AC73" s="141" t="n"/>
      <c r="AD73" s="141" t="n"/>
      <c r="AE73" s="141" t="n"/>
      <c r="AF73" s="141" t="n"/>
    </row>
    <row r="74">
      <c r="A74" s="154" t="inlineStr">
        <is>
          <t>총 합계</t>
        </is>
      </c>
      <c r="B74" s="148" t="n"/>
      <c r="C74" s="148" t="n"/>
      <c r="D74" s="148" t="n"/>
      <c r="E74" s="148" t="n"/>
      <c r="F74" s="148" t="n"/>
      <c r="G74" s="149" t="n"/>
      <c r="H74" s="146">
        <f>SUBTOTAL(9,H5:H70)</f>
        <v/>
      </c>
      <c r="I74" s="145" t="n"/>
      <c r="J74" s="146">
        <f>SUBTOTAL(9,J5:J64)</f>
        <v/>
      </c>
      <c r="K74" s="146">
        <f>SUBTOTAL(9,K5:K70)</f>
        <v/>
      </c>
      <c r="L74" s="146">
        <f>SUBTOTAL(9,L5:L70)</f>
        <v/>
      </c>
      <c r="M74" s="146">
        <f>SUBTOTAL(9,M5:M70)</f>
        <v/>
      </c>
      <c r="N74" s="145" t="n"/>
      <c r="O74" s="145" t="n"/>
      <c r="P74" s="145" t="n"/>
      <c r="Q74" s="146" t="n"/>
      <c r="R74" s="144" t="n"/>
      <c r="S74" s="146">
        <f>SUBTOTAL(9,S5:S70)</f>
        <v/>
      </c>
      <c r="T74" s="146">
        <f>SUBTOTAL(9,T5:T70)</f>
        <v/>
      </c>
      <c r="U74" s="145" t="n"/>
      <c r="V74" s="145" t="n"/>
      <c r="W74" s="146">
        <f>SUBTOTAL(9,W5:W70)</f>
        <v/>
      </c>
      <c r="X74" s="154" t="n"/>
      <c r="Y74" s="146">
        <f>SUBTOTAL(9,Y5:Y70)</f>
        <v/>
      </c>
      <c r="Z74" s="146">
        <f>SUBTOTAL(9,Z5:Z70)</f>
        <v/>
      </c>
      <c r="AA74" s="146">
        <f>SUBTOTAL(9,AA5:AA70)</f>
        <v/>
      </c>
      <c r="AB74" s="154" t="n"/>
      <c r="AC74" s="145" t="n"/>
      <c r="AD74" s="145" t="n"/>
      <c r="AE74" s="145" t="n"/>
      <c r="AF74" s="145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75" t="n"/>
      <c r="Y75" s="39" t="n"/>
      <c r="Z75" s="39" t="n"/>
      <c r="AA75" s="39" t="n"/>
      <c r="AB75" s="75" t="n"/>
      <c r="AC75" s="39" t="n"/>
      <c r="AD75" s="39" t="n"/>
      <c r="AE75" s="39" t="n"/>
      <c r="AF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75" t="n"/>
      <c r="Y76" s="39" t="n"/>
      <c r="Z76" s="39" t="n"/>
      <c r="AA76" s="39" t="n"/>
      <c r="AB76" s="75" t="n"/>
      <c r="AC76" s="39" t="n"/>
      <c r="AD76" s="39" t="n"/>
      <c r="AE76" s="39" t="n"/>
      <c r="AF76" s="39" t="n"/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75" t="n"/>
      <c r="Y77" s="39" t="n"/>
      <c r="Z77" s="39" t="n"/>
      <c r="AA77" s="39" t="n"/>
      <c r="AB77" s="75" t="n"/>
      <c r="AC77" s="39" t="n"/>
      <c r="AD77" s="39" t="n"/>
      <c r="AE77" s="39" t="n"/>
      <c r="AF77" s="39" t="n"/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75" t="n"/>
      <c r="Y78" s="39" t="n"/>
      <c r="Z78" s="39" t="n"/>
      <c r="AA78" s="39" t="n"/>
      <c r="AB78" s="75" t="n"/>
      <c r="AC78" s="39" t="n"/>
      <c r="AD78" s="39" t="n"/>
      <c r="AE78" s="39" t="n"/>
      <c r="AF78" s="39" t="n"/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75" t="n"/>
      <c r="Y79" s="39" t="n"/>
      <c r="Z79" s="39" t="n"/>
      <c r="AA79" s="39" t="n"/>
      <c r="AB79" s="75" t="n"/>
      <c r="AC79" s="39" t="n"/>
      <c r="AD79" s="39" t="n"/>
      <c r="AE79" s="39" t="n"/>
      <c r="AF79" s="39" t="n"/>
    </row>
    <row r="93">
      <c r="M93" s="40" t="n"/>
    </row>
  </sheetData>
  <mergeCells count="12">
    <mergeCell ref="G3:N3"/>
    <mergeCell ref="A74:G74"/>
    <mergeCell ref="A1:AF1"/>
    <mergeCell ref="AD3:AF3"/>
    <mergeCell ref="A72:G72"/>
    <mergeCell ref="X3:Z3"/>
    <mergeCell ref="A3:F3"/>
    <mergeCell ref="A73:G73"/>
    <mergeCell ref="A71:G71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  <row r="92">
      <c r="A92" s="234" t="inlineStr">
        <is>
          <t>CPO696-3</t>
        </is>
      </c>
      <c r="B92" s="234" t="inlineStr">
        <is>
          <t>2026.06.17</t>
        </is>
      </c>
      <c r="C92" s="235" t="inlineStr">
        <is>
          <t>Christie</t>
        </is>
      </c>
      <c r="D92" s="236" t="n">
        <v>351274</v>
      </c>
      <c r="E92" s="236" t="n">
        <v>351274</v>
      </c>
      <c r="F92" s="240">
        <f>IFERROR(D92/E92,0)</f>
        <v/>
      </c>
      <c r="G92" s="236" t="n">
        <v>1518</v>
      </c>
      <c r="H92" s="238" t="n">
        <v>533233932</v>
      </c>
      <c r="I92" s="238" t="n">
        <v>30360</v>
      </c>
      <c r="J92" s="238" t="n">
        <v>12500</v>
      </c>
      <c r="K92" s="238" t="n">
        <v>8000</v>
      </c>
      <c r="L92" s="239">
        <f>H92+I92+J92+K92</f>
        <v/>
      </c>
    </row>
    <row r="93">
      <c r="A93" s="234" t="inlineStr">
        <is>
          <t>APO001</t>
        </is>
      </c>
      <c r="B93" s="234" t="inlineStr">
        <is>
          <t>2026.06.17</t>
        </is>
      </c>
      <c r="C93" s="235" t="inlineStr">
        <is>
          <t>Appotronics</t>
        </is>
      </c>
      <c r="D93" s="236" t="n">
        <v>12400</v>
      </c>
      <c r="E93" s="236" t="n">
        <v>12400</v>
      </c>
      <c r="F93" s="240">
        <f>IFERROR(D93/E93,0)</f>
        <v/>
      </c>
      <c r="G93" s="236" t="n">
        <v>1517.1</v>
      </c>
      <c r="H93" s="238" t="n">
        <v>18812040</v>
      </c>
      <c r="I93" s="238" t="n">
        <v>30342</v>
      </c>
      <c r="J93" s="238" t="n">
        <v>10000</v>
      </c>
      <c r="K93" s="238" t="n">
        <v>8000</v>
      </c>
      <c r="L93" s="239">
        <f>H93+I93+J93+K93</f>
        <v/>
      </c>
    </row>
    <row r="94">
      <c r="A94" s="234" t="inlineStr">
        <is>
          <t>MPO67</t>
        </is>
      </c>
      <c r="B94" s="234" t="inlineStr">
        <is>
          <t>2026.06.17</t>
        </is>
      </c>
      <c r="C94" s="235" t="inlineStr">
        <is>
          <t>MAG</t>
        </is>
      </c>
      <c r="D94" s="236" t="n">
        <v>49138.8</v>
      </c>
      <c r="E94" s="236" t="n">
        <v>60726</v>
      </c>
      <c r="F94" s="240">
        <f>IFERROR(D94/E94,0)</f>
        <v/>
      </c>
      <c r="G94" s="236" t="n">
        <v>1517.3</v>
      </c>
      <c r="H94" s="238" t="n">
        <v>74558330</v>
      </c>
      <c r="I94" s="238" t="n">
        <v>24555</v>
      </c>
      <c r="J94" s="238" t="n">
        <v>10115</v>
      </c>
      <c r="K94" s="238" t="n">
        <v>6473</v>
      </c>
      <c r="L94" s="239">
        <f>H94+I94+J94+K94</f>
        <v/>
      </c>
    </row>
    <row r="95">
      <c r="A95" s="234" t="inlineStr">
        <is>
          <t>MPO68</t>
        </is>
      </c>
      <c r="B95" s="234" t="inlineStr">
        <is>
          <t>2026.06.17</t>
        </is>
      </c>
      <c r="C95" s="235" t="inlineStr">
        <is>
          <t>MAG</t>
        </is>
      </c>
      <c r="D95" s="236" t="n">
        <v>11587.2</v>
      </c>
      <c r="E95" s="236" t="n">
        <v>60726</v>
      </c>
      <c r="F95" s="240">
        <f>IFERROR(D95/E95,0)</f>
        <v/>
      </c>
      <c r="G95" s="236" t="n">
        <v>1517.3</v>
      </c>
      <c r="H95" s="238" t="n">
        <v>17582284</v>
      </c>
      <c r="I95" s="238" t="n">
        <v>5791</v>
      </c>
      <c r="J95" s="238" t="n">
        <v>2385</v>
      </c>
      <c r="K95" s="238" t="n">
        <v>1527</v>
      </c>
      <c r="L95" s="239">
        <f>H95+I95+J95+K95</f>
        <v/>
      </c>
    </row>
    <row r="96">
      <c r="A96" s="234" t="inlineStr">
        <is>
          <t>GPO475</t>
        </is>
      </c>
      <c r="B96" s="234" t="inlineStr">
        <is>
          <t>2026.06.17</t>
        </is>
      </c>
      <c r="C96" s="235" t="inlineStr">
        <is>
          <t>GDC</t>
        </is>
      </c>
      <c r="D96" s="236" t="n">
        <v>540</v>
      </c>
      <c r="E96" s="236" t="n">
        <v>2040</v>
      </c>
      <c r="F96" s="240">
        <f>IFERROR(D96/E96,0)</f>
        <v/>
      </c>
      <c r="G96" s="236" t="n">
        <v>1516.8</v>
      </c>
      <c r="H96" s="238" t="n">
        <v>819072</v>
      </c>
      <c r="I96" s="238" t="n">
        <v>8030</v>
      </c>
      <c r="J96" s="238" t="n">
        <v>1985</v>
      </c>
      <c r="K96" s="238" t="n">
        <v>2118</v>
      </c>
      <c r="L96" s="239">
        <f>H96+I96+J96+K96</f>
        <v/>
      </c>
    </row>
    <row r="97">
      <c r="A97" s="234" t="inlineStr">
        <is>
          <t>GPO475-수리</t>
        </is>
      </c>
      <c r="B97" s="234" t="inlineStr">
        <is>
          <t>2026.06.17</t>
        </is>
      </c>
      <c r="C97" s="235" t="inlineStr">
        <is>
          <t>GDC</t>
        </is>
      </c>
      <c r="D97" s="236" t="n">
        <v>1500</v>
      </c>
      <c r="E97" s="236" t="n">
        <v>2040</v>
      </c>
      <c r="F97" s="240">
        <f>IFERROR(D97/E97,0)</f>
        <v/>
      </c>
      <c r="G97" s="236" t="n">
        <v>1516.8</v>
      </c>
      <c r="H97" s="238" t="n">
        <v>2275200</v>
      </c>
      <c r="I97" s="238" t="n">
        <v>22306</v>
      </c>
      <c r="J97" s="238" t="n">
        <v>5515</v>
      </c>
      <c r="K97" s="238" t="n">
        <v>5882</v>
      </c>
      <c r="L97" s="239">
        <f>H97+I97+J97+K97</f>
        <v/>
      </c>
    </row>
    <row r="98"/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2026-06-16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2026-06-18T09:20:38Z</dcterms:modified>
  <cp:lastModifiedBy>원석 도</cp:lastModifiedBy>
  <cp:revision>0</cp:revision>
</cp:coreProperties>
</file>