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환율!$A$7:$D$39</definedName>
    <definedName name="RemitTable1">외화송금내역!$A$3:$L$34</definedName>
    <definedName name="RemitTable2">외화송금내역!$A$37:$L$74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3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5" fillId="0" borderId="0"/>
  </cellStyleXfs>
  <cellXfs count="20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169" t="inlineStr">
        <is>
          <t>RNR 2026년 PO별 수입원가 산출표 (Master)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2026-05-19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inlineStr">
        <is>
          <t>-</t>
        </is>
      </c>
      <c r="H24" s="7" t="n">
        <v>36190</v>
      </c>
      <c r="I24" s="33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inlineStr">
        <is>
          <t>-</t>
        </is>
      </c>
      <c r="H25" s="7" t="n">
        <v>180</v>
      </c>
      <c r="I25" s="33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inlineStr">
        <is>
          <t>-</t>
        </is>
      </c>
      <c r="H26" s="7" t="n">
        <v>21280</v>
      </c>
      <c r="I26" s="33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/>
      <c r="H29" s="7" t="n">
        <v>4290</v>
      </c>
      <c r="I29" s="33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0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inlineStr">
        <is>
          <t>-</t>
        </is>
      </c>
      <c r="H30" s="80" t="n">
        <v>78209</v>
      </c>
      <c r="I30" s="18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inlineStr">
        <is>
          <t>-</t>
        </is>
      </c>
      <c r="H31" s="80" t="n">
        <v>8140</v>
      </c>
      <c r="I31" s="18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n"/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n"/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24" t="inlineStr">
        <is>
          <t>-</t>
        </is>
      </c>
      <c r="H35" s="126" t="n">
        <v>98800</v>
      </c>
      <c r="I35" s="126">
        <f>IFERROR(VLOOKUP(B35,RemitTable2,7,FALSE),0)</f>
        <v/>
      </c>
      <c r="J35" s="128" t="n">
        <v>0</v>
      </c>
      <c r="K35" s="128">
        <f>IFERROR(ROUND(H35*I35,0),0)</f>
        <v/>
      </c>
      <c r="L35" s="128">
        <f>IFERROR(VLOOKUP(B35,RemitTable2,10,FALSE),0)</f>
        <v/>
      </c>
      <c r="M35" s="128">
        <f>IFERROR(VLOOKUP(B35,RemitTable2,11,FALSE),0)</f>
        <v/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n"/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24" t="inlineStr">
        <is>
          <t>-</t>
        </is>
      </c>
      <c r="H36" s="126" t="n">
        <v>90</v>
      </c>
      <c r="I36" s="126">
        <f>IFERROR(VLOOKUP(B36,RemitTable2,7,FALSE),0)</f>
        <v/>
      </c>
      <c r="J36" s="128" t="n">
        <v>0</v>
      </c>
      <c r="K36" s="128">
        <f>IFERROR(ROUND(H36*I36,0),0)</f>
        <v/>
      </c>
      <c r="L36" s="128">
        <f>IFERROR(VLOOKUP(B36,RemitTable2,10,FALSE),0)</f>
        <v/>
      </c>
      <c r="M36" s="128">
        <f>IFERROR(VLOOKUP(B36,RemitTable2,11,FALSE),0)</f>
        <v/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" t="n">
        <v>29</v>
      </c>
      <c r="B37" s="20" t="inlineStr">
        <is>
          <t>CPO667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83" t="n">
        <v>45925</v>
      </c>
      <c r="G37" s="184" t="n">
        <v>46080</v>
      </c>
      <c r="H37" s="24" t="n">
        <v>5673</v>
      </c>
      <c r="I37" s="185">
        <f>IFERROR(VLOOKUP(B30,RemitTable2,7,FALSE()),0)</f>
        <v/>
      </c>
      <c r="J37" s="26" t="n">
        <v>205028994</v>
      </c>
      <c r="K37" s="26">
        <f>IFERROR(ROUND(H30*I30,0),0)</f>
        <v/>
      </c>
      <c r="L37" s="26">
        <f>IFERROR(VLOOKUP(B30,RemitTable2,10,FALSE()),0)</f>
        <v/>
      </c>
      <c r="M37" s="26">
        <f>IFERROR(VLOOKUP(B30,RemitTable2,11,FALSE()),0)</f>
        <v/>
      </c>
      <c r="N37" s="20" t="inlineStr">
        <is>
          <t>EW CP2220</t>
        </is>
      </c>
      <c r="O37" s="20" t="inlineStr">
        <is>
          <t>-</t>
        </is>
      </c>
      <c r="P37" s="20" t="inlineStr">
        <is>
          <t>-</t>
        </is>
      </c>
      <c r="Q37" s="24">
        <f>IF(P33="","",IFERROR(VLOOKUP(O33,FxRateTable,4,TRUE),""))</f>
        <v/>
      </c>
      <c r="R37" s="26">
        <f>IF(P30="","",H30)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S30+T30+W30</f>
        <v/>
      </c>
      <c r="AA37" s="26">
        <f>K30+L30+M30+IFERROR(VLOOKUP(B30,RemitTable2,9,FALSE()),0)+Y30+Z30</f>
        <v/>
      </c>
      <c r="AB37" s="27" t="n">
        <v>1</v>
      </c>
      <c r="AC37" s="26">
        <f>ROUND(AA30/AB30,0)</f>
        <v/>
      </c>
      <c r="AD37" s="20" t="inlineStr">
        <is>
          <t>2025-09</t>
        </is>
      </c>
      <c r="AE37" s="184" t="inlineStr">
        <is>
          <t>2025-09-13</t>
        </is>
      </c>
      <c r="AF37" s="183" t="inlineStr">
        <is>
          <t>2026-08-28</t>
        </is>
      </c>
    </row>
    <row r="38" ht="15.75" customHeight="1">
      <c r="A38" s="20" t="n">
        <v>30</v>
      </c>
      <c r="B38" s="20" t="inlineStr">
        <is>
          <t>GPO458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라이센스</t>
        </is>
      </c>
      <c r="F38" s="183" t="n">
        <v>45982</v>
      </c>
      <c r="G38" s="184" t="n">
        <v>46020</v>
      </c>
      <c r="H38" s="24" t="n">
        <v>350</v>
      </c>
      <c r="I38" s="185">
        <f>IFERROR(VLOOKUP(B31,RemitTable2,7,FALSE()),0)</f>
        <v/>
      </c>
      <c r="J38" s="26" t="n">
        <v>18264679</v>
      </c>
      <c r="K38" s="26">
        <f>IFERROR(ROUND(H31*I31,0),0)</f>
        <v/>
      </c>
      <c r="L38" s="26">
        <f>IFERROR(VLOOKUP(B31,RemitTable2,10,FALSE()),0)</f>
        <v/>
      </c>
      <c r="M38" s="26">
        <f>IFERROR(VLOOKUP(B31,RemitTable2,11,FALSE()),0)</f>
        <v/>
      </c>
      <c r="N38" s="20" t="inlineStr">
        <is>
          <t>HFR License</t>
        </is>
      </c>
      <c r="O38" s="20" t="inlineStr">
        <is>
          <t>-</t>
        </is>
      </c>
      <c r="P38" s="20" t="inlineStr">
        <is>
          <t>-</t>
        </is>
      </c>
      <c r="Q38" s="24">
        <f>IF(P34="","",IFERROR(VLOOKUP(O34,FxRateTable,4,TRUE),""))</f>
        <v/>
      </c>
      <c r="R38" s="26">
        <f>IF(P31="","",H31)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S31+T31+W31</f>
        <v/>
      </c>
      <c r="AA38" s="26">
        <f>K31+L31+M31+IFERROR(VLOOKUP(B31,RemitTable2,9,FALSE()),0)+Y31+Z31</f>
        <v/>
      </c>
      <c r="AB38" s="27" t="n">
        <v>1</v>
      </c>
      <c r="AC38" s="26">
        <f>ROUND(AA31/AB31,0)</f>
        <v/>
      </c>
      <c r="AD38" s="20" t="inlineStr">
        <is>
          <t>2025-12</t>
        </is>
      </c>
      <c r="AE38" s="184" t="inlineStr">
        <is>
          <t>2025-12-01</t>
        </is>
      </c>
      <c r="AF38" s="183" t="inlineStr">
        <is>
          <t>2026-11-30</t>
        </is>
      </c>
    </row>
    <row r="39" ht="15.75" customHeight="1">
      <c r="A39" s="20" t="n">
        <v>31</v>
      </c>
      <c r="B39" s="20" t="inlineStr">
        <is>
          <t>CPO681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83" t="n">
        <v>45993</v>
      </c>
      <c r="G39" s="184" t="n">
        <v>46064</v>
      </c>
      <c r="H39" s="24" t="n">
        <v>26358</v>
      </c>
      <c r="I39" s="185">
        <f>IFERROR(VLOOKUP(B32,RemitTable2,7,FALSE()),0)</f>
        <v/>
      </c>
      <c r="J39" s="26" t="n">
        <v>38550844</v>
      </c>
      <c r="K39" s="26">
        <f>IFERROR(ROUND(H32*I32,0),0)</f>
        <v/>
      </c>
      <c r="L39" s="26">
        <f>IFERROR(VLOOKUP(B32,RemitTable2,10,FALSE()),0)</f>
        <v/>
      </c>
      <c r="M39" s="26">
        <f>IFERROR(VLOOKUP(B32,RemitTable2,11,FALSE()),0)</f>
        <v/>
      </c>
      <c r="N39" s="20" t="inlineStr">
        <is>
          <t>EW CP2309/2315/2320-RGB</t>
        </is>
      </c>
      <c r="O39" s="20" t="inlineStr">
        <is>
          <t>-</t>
        </is>
      </c>
      <c r="P39" s="20" t="inlineStr">
        <is>
          <t>-</t>
        </is>
      </c>
      <c r="Q39" s="24">
        <f>IF(P35="","",IFERROR(VLOOKUP(O35,FxRateTable,4,TRUE),""))</f>
        <v/>
      </c>
      <c r="R39" s="26">
        <f>IF(P32="","",H32)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S32+T32+W32</f>
        <v/>
      </c>
      <c r="AA39" s="26">
        <f>K32+L32+M32+IFERROR(VLOOKUP(B32,RemitTable2,9,FALSE()),0)+Y32+Z32</f>
        <v/>
      </c>
      <c r="AB39" s="27" t="n">
        <v>1</v>
      </c>
      <c r="AC39" s="26">
        <f>ROUND(AA32/AB32,0)</f>
        <v/>
      </c>
      <c r="AD39" s="20" t="inlineStr">
        <is>
          <t>2025-12</t>
        </is>
      </c>
      <c r="AE39" s="184" t="inlineStr">
        <is>
          <t>2025-12-22</t>
        </is>
      </c>
      <c r="AF39" s="183" t="inlineStr">
        <is>
          <t>2026-12-21</t>
        </is>
      </c>
    </row>
    <row r="40" ht="15.75" customHeight="1">
      <c r="A40" s="20" t="n">
        <v>32</v>
      </c>
      <c r="B40" s="20" t="inlineStr">
        <is>
          <t>GPO459</t>
        </is>
      </c>
      <c r="C40" s="21" t="inlineStr">
        <is>
          <t>GDC</t>
        </is>
      </c>
      <c r="D40" s="20" t="inlineStr">
        <is>
          <t>Net 30 days</t>
        </is>
      </c>
      <c r="E40" s="21" t="inlineStr">
        <is>
          <t>워런티(EW)</t>
        </is>
      </c>
      <c r="F40" s="183" t="n">
        <v>46007</v>
      </c>
      <c r="G40" s="184" t="n">
        <v>46043</v>
      </c>
      <c r="H40" s="24" t="n">
        <v>450</v>
      </c>
      <c r="I40" s="185">
        <f>IFERROR(VLOOKUP(B33,RemitTable2,7,FALSE()),0)</f>
        <v/>
      </c>
      <c r="J40" s="26" t="n">
        <v>5505104</v>
      </c>
      <c r="K40" s="26">
        <f>IFERROR(ROUND(H33*I33,0),0)</f>
        <v/>
      </c>
      <c r="L40" s="26">
        <f>IFERROR(VLOOKUP(B33,RemitTable2,10,FALSE()),0)</f>
        <v/>
      </c>
      <c r="M40" s="26">
        <f>IFERROR(VLOOKUP(B33,RemitTable2,11,FALSE()),0)</f>
        <v/>
      </c>
      <c r="N40" s="20" t="inlineStr">
        <is>
          <t>TMS-2000 EW</t>
        </is>
      </c>
      <c r="O40" s="20" t="inlineStr">
        <is>
          <t>-</t>
        </is>
      </c>
      <c r="P40" s="20" t="inlineStr">
        <is>
          <t>-</t>
        </is>
      </c>
      <c r="Q40" s="24">
        <f>IF(P36="","",IFERROR(VLOOKUP(O36,FxRateTable,4,TRUE),""))</f>
        <v/>
      </c>
      <c r="R40" s="26">
        <f>IF(P33="","",H33)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S33+T33+W33</f>
        <v/>
      </c>
      <c r="AA40" s="26">
        <f>K33+L33+M33+IFERROR(VLOOKUP(B33,RemitTable2,9,FALSE()),0)+Y33+Z33</f>
        <v/>
      </c>
      <c r="AB40" s="27" t="n">
        <v>1</v>
      </c>
      <c r="AC40" s="26">
        <f>ROUND(AA33/AB33,0)</f>
        <v/>
      </c>
      <c r="AD40" s="20" t="inlineStr">
        <is>
          <t>2026-01</t>
        </is>
      </c>
      <c r="AE40" s="184" t="inlineStr">
        <is>
          <t>2026-01-01</t>
        </is>
      </c>
      <c r="AF40" s="183" t="inlineStr">
        <is>
          <t>2026-12-31</t>
        </is>
      </c>
    </row>
    <row r="41" ht="15.75" customHeight="1">
      <c r="A41" s="20" t="n">
        <v>33</v>
      </c>
      <c r="B41" s="20" t="inlineStr">
        <is>
          <t>GPO461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워런티(EW)</t>
        </is>
      </c>
      <c r="F41" s="183" t="n">
        <v>46007</v>
      </c>
      <c r="G41" s="184" t="n">
        <v>46043</v>
      </c>
      <c r="H41" s="24" t="n">
        <v>540</v>
      </c>
      <c r="I41" s="185">
        <f>IFERROR(VLOOKUP(B34,RemitTable2,7,FALSE()),0)</f>
        <v/>
      </c>
      <c r="J41" s="26" t="n">
        <v>5505104</v>
      </c>
      <c r="K41" s="26">
        <f>IFERROR(ROUND(H34*I34,0),0)</f>
        <v/>
      </c>
      <c r="L41" s="26">
        <f>IFERROR(VLOOKUP(B34,RemitTable2,10,FALSE()),0)</f>
        <v/>
      </c>
      <c r="M41" s="26">
        <f>IFERROR(VLOOKUP(B34,RemitTable2,11,FALSE()),0)</f>
        <v/>
      </c>
      <c r="N41" s="20" t="inlineStr">
        <is>
          <t>TMS-1000 EW</t>
        </is>
      </c>
      <c r="O41" s="20" t="inlineStr">
        <is>
          <t>-</t>
        </is>
      </c>
      <c r="P41" s="20" t="inlineStr">
        <is>
          <t>-</t>
        </is>
      </c>
      <c r="Q41" s="24">
        <f>IF(P37="","",IFERROR(VLOOKUP(O37,FxRateTable,4,TRUE),""))</f>
        <v/>
      </c>
      <c r="R41" s="26">
        <f>IF(P34="","",H34)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S34+T34+W34</f>
        <v/>
      </c>
      <c r="AA41" s="26">
        <f>K34+L34+M34+IFERROR(VLOOKUP(B34,RemitTable2,9,FALSE()),0)+Y34+Z34</f>
        <v/>
      </c>
      <c r="AB41" s="27" t="n">
        <v>1</v>
      </c>
      <c r="AC41" s="26">
        <f>ROUND(AA34/AB34,0)</f>
        <v/>
      </c>
      <c r="AD41" s="20" t="inlineStr">
        <is>
          <t>2025-11</t>
        </is>
      </c>
      <c r="AE41" s="184" t="inlineStr">
        <is>
          <t>2025-11-01</t>
        </is>
      </c>
      <c r="AF41" s="183" t="inlineStr">
        <is>
          <t>2026-10-30</t>
        </is>
      </c>
    </row>
    <row r="42" ht="15.75" customHeight="1">
      <c r="A42" s="20" t="n">
        <v>34</v>
      </c>
      <c r="B42" s="20" t="inlineStr">
        <is>
          <t>CPO685</t>
        </is>
      </c>
      <c r="C42" s="21" t="inlineStr">
        <is>
          <t>Christie</t>
        </is>
      </c>
      <c r="D42" s="20" t="inlineStr">
        <is>
          <t>Net 45 days</t>
        </is>
      </c>
      <c r="E42" s="21" t="inlineStr">
        <is>
          <t>워런티(EW)</t>
        </is>
      </c>
      <c r="F42" s="183" t="n">
        <v>46010</v>
      </c>
      <c r="G42" s="184" t="n">
        <v>46080</v>
      </c>
      <c r="H42" s="24" t="n">
        <v>136516</v>
      </c>
      <c r="I42" s="185">
        <f>IFERROR(VLOOKUP(B35,RemitTable2,7,FALSE()),0)</f>
        <v/>
      </c>
      <c r="J42" s="26" t="n">
        <v>205028994</v>
      </c>
      <c r="K42" s="26">
        <f>IFERROR(ROUND(H35*I35,0),0)</f>
        <v/>
      </c>
      <c r="L42" s="26">
        <f>IFERROR(VLOOKUP(B35,RemitTable2,10,FALSE()),0)</f>
        <v/>
      </c>
      <c r="M42" s="26">
        <f>IFERROR(VLOOKUP(B35,RemitTable2,11,FALSE()),0)</f>
        <v/>
      </c>
      <c r="N42" s="20" t="inlineStr">
        <is>
          <t>EW 대량 (CP2208~CP4450)</t>
        </is>
      </c>
      <c r="O42" s="20" t="inlineStr">
        <is>
          <t>-</t>
        </is>
      </c>
      <c r="P42" s="20" t="inlineStr">
        <is>
          <t>-</t>
        </is>
      </c>
      <c r="Q42" s="24">
        <f>IF(P38="","",IFERROR(VLOOKUP(O38,FxRateTable,4,TRUE),""))</f>
        <v/>
      </c>
      <c r="R42" s="26">
        <f>IF(P35="","",H35)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S35+T35+W35</f>
        <v/>
      </c>
      <c r="AA42" s="26">
        <f>K35+L35+M35+IFERROR(VLOOKUP(B35,RemitTable2,9,FALSE()),0)+Y35+Z35</f>
        <v/>
      </c>
      <c r="AB42" s="27" t="n">
        <v>1</v>
      </c>
      <c r="AC42" s="26">
        <f>ROUND(AA35/AB35,0)</f>
        <v/>
      </c>
      <c r="AD42" s="20" t="inlineStr">
        <is>
          <t>2026-01</t>
        </is>
      </c>
      <c r="AE42" s="184" t="inlineStr">
        <is>
          <t>2026-01-01</t>
        </is>
      </c>
      <c r="AF42" s="183" t="inlineStr">
        <is>
          <t>2026-12-31</t>
        </is>
      </c>
    </row>
    <row r="43" ht="15.75" customHeight="1">
      <c r="A43" s="20" t="n">
        <v>35</v>
      </c>
      <c r="B43" s="20" t="inlineStr">
        <is>
          <t>GPO465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46015</v>
      </c>
      <c r="G43" s="184" t="inlineStr">
        <is>
          <t>-</t>
        </is>
      </c>
      <c r="H43" s="24" t="n">
        <v>76054</v>
      </c>
      <c r="I43" s="185">
        <f>IFERROR(VLOOKUP(B36,RemitTable2,7,FALSE()),0)</f>
        <v/>
      </c>
      <c r="J43" s="26" t="n">
        <v>0</v>
      </c>
      <c r="K43" s="26">
        <f>IFERROR(ROUND(H36*I36,0),0)</f>
        <v/>
      </c>
      <c r="L43" s="26">
        <f>IFERROR(VLOOKUP(B36,RemitTable2,10,FALSE()),0)</f>
        <v/>
      </c>
      <c r="M43" s="26">
        <f>IFERROR(VLOOKUP(B36,RemitTable2,11,FALSE()),0)</f>
        <v/>
      </c>
      <c r="N43" s="20" t="inlineStr">
        <is>
          <t>EW 대량 (SR/SX/TMS)</t>
        </is>
      </c>
      <c r="O43" s="20" t="inlineStr">
        <is>
          <t>-</t>
        </is>
      </c>
      <c r="P43" s="20" t="inlineStr">
        <is>
          <t>-</t>
        </is>
      </c>
      <c r="Q43" s="24">
        <f>IF(P39="","",IFERROR(VLOOKUP(O39,FxRateTable,4,TRUE),""))</f>
        <v/>
      </c>
      <c r="R43" s="26">
        <f>IF(P36="","",H36)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S36+T36+W36</f>
        <v/>
      </c>
      <c r="AA43" s="26">
        <f>K36+L36+M36+IFERROR(VLOOKUP(B36,RemitTable2,9,FALSE()),0)+Y36+Z36</f>
        <v/>
      </c>
      <c r="AB43" s="27" t="n">
        <v>1</v>
      </c>
      <c r="AC43" s="26">
        <f>ROUND(AA36/AB36,0)</f>
        <v/>
      </c>
      <c r="AD43" s="20" t="inlineStr">
        <is>
          <t>2026-01</t>
        </is>
      </c>
      <c r="AE43" s="184" t="inlineStr">
        <is>
          <t>2026-01-01</t>
        </is>
      </c>
      <c r="AF43" s="183" t="inlineStr">
        <is>
          <t>2026-12-31</t>
        </is>
      </c>
    </row>
    <row r="44" ht="15.75" customHeight="1">
      <c r="A44" s="20" t="n">
        <v>36</v>
      </c>
      <c r="B44" s="20" t="inlineStr">
        <is>
          <t>CPO686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83" t="n">
        <v>46029</v>
      </c>
      <c r="G44" s="184" t="n">
        <v>46072</v>
      </c>
      <c r="H44" s="24" t="n">
        <v>14793</v>
      </c>
      <c r="I44" s="185">
        <f>IFERROR(VLOOKUP(B37,RemitTable2,7,FALSE()),0)</f>
        <v/>
      </c>
      <c r="J44" s="26" t="n">
        <v>25506948</v>
      </c>
      <c r="K44" s="26">
        <f>IFERROR(ROUND(H37*I37,0),0)</f>
        <v/>
      </c>
      <c r="L44" s="26">
        <f>IFERROR(VLOOKUP(B37,RemitTable2,10,FALSE()),0)</f>
        <v/>
      </c>
      <c r="M44" s="26">
        <f>IFERROR(VLOOKUP(B37,RemitTable2,11,FALSE()),0)</f>
        <v/>
      </c>
      <c r="N44" s="20" t="inlineStr">
        <is>
          <t>EW CP2315/CP4440-RGB</t>
        </is>
      </c>
      <c r="O44" s="20" t="inlineStr">
        <is>
          <t>-</t>
        </is>
      </c>
      <c r="P44" s="20" t="inlineStr">
        <is>
          <t>-</t>
        </is>
      </c>
      <c r="Q44" s="24">
        <f>IF(P40="","",IFERROR(VLOOKUP(O40,FxRateTable,4,TRUE),""))</f>
        <v/>
      </c>
      <c r="R44" s="26">
        <f>IF(P37="","",H37)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S37+T37+W37</f>
        <v/>
      </c>
      <c r="AA44" s="26">
        <f>K37+L37+M37+IFERROR(VLOOKUP(B37,RemitTable2,9,FALSE()),0)+Y37+Z37</f>
        <v/>
      </c>
      <c r="AB44" s="27" t="n">
        <v>1</v>
      </c>
      <c r="AC44" s="26">
        <f>ROUND(AA37/AB37,0)</f>
        <v/>
      </c>
      <c r="AD44" s="20" t="inlineStr">
        <is>
          <t>2026-01</t>
        </is>
      </c>
      <c r="AE44" s="184" t="inlineStr">
        <is>
          <t>2026-01-30</t>
        </is>
      </c>
      <c r="AF44" s="183" t="inlineStr">
        <is>
          <t>2027-01-29</t>
        </is>
      </c>
    </row>
    <row r="45" ht="15.75" customHeight="1">
      <c r="A45" s="20" t="n">
        <v>37</v>
      </c>
      <c r="B45" s="20" t="inlineStr">
        <is>
          <t>CPO687</t>
        </is>
      </c>
      <c r="C45" s="21" t="inlineStr">
        <is>
          <t>Christie</t>
        </is>
      </c>
      <c r="D45" s="20" t="inlineStr">
        <is>
          <t>Net 45 days</t>
        </is>
      </c>
      <c r="E45" s="21" t="inlineStr">
        <is>
          <t>워런티(EW)</t>
        </is>
      </c>
      <c r="F45" s="183" t="n">
        <v>46029</v>
      </c>
      <c r="G45" s="184" t="inlineStr">
        <is>
          <t>-</t>
        </is>
      </c>
      <c r="H45" s="24" t="n">
        <v>26656</v>
      </c>
      <c r="I45" s="185">
        <f>IFERROR(VLOOKUP(B38,RemitTable2,7,FALSE()),0)</f>
        <v/>
      </c>
      <c r="J45" s="26" t="n">
        <v>0</v>
      </c>
      <c r="K45" s="26">
        <f>IFERROR(ROUND(H38*I38,0),0)</f>
        <v/>
      </c>
      <c r="L45" s="26">
        <f>IFERROR(VLOOKUP(B38,RemitTable2,10,FALSE()),0)</f>
        <v/>
      </c>
      <c r="M45" s="26">
        <f>IFERROR(VLOOKUP(B38,RemitTable2,11,FALSE()),0)</f>
        <v/>
      </c>
      <c r="N45" s="20" t="inlineStr">
        <is>
          <t>EW (홀딩)</t>
        </is>
      </c>
      <c r="O45" s="20" t="inlineStr">
        <is>
          <t>-</t>
        </is>
      </c>
      <c r="P45" s="20" t="inlineStr">
        <is>
          <t>-</t>
        </is>
      </c>
      <c r="Q45" s="24">
        <f>IF(P41="","",IFERROR(VLOOKUP(O41,FxRateTable,4,TRUE),""))</f>
        <v/>
      </c>
      <c r="R45" s="26">
        <f>IF(P38="","",H38)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S38+T38+W38</f>
        <v/>
      </c>
      <c r="AA45" s="26">
        <f>K38+L38+M38+IFERROR(VLOOKUP(B38,RemitTable2,9,FALSE()),0)+Y38+Z38</f>
        <v/>
      </c>
      <c r="AB45" s="27" t="n">
        <v>1</v>
      </c>
      <c r="AC45" s="26">
        <f>ROUND(AA38/AB38,0)</f>
        <v/>
      </c>
      <c r="AD45" s="20" t="inlineStr">
        <is>
          <t>2026-01</t>
        </is>
      </c>
      <c r="AE45" s="184" t="inlineStr">
        <is>
          <t>-</t>
        </is>
      </c>
      <c r="AF45" s="183" t="inlineStr">
        <is>
          <t>-</t>
        </is>
      </c>
    </row>
    <row r="46" ht="15.75" customHeight="1">
      <c r="A46" s="20" t="n">
        <v>38</v>
      </c>
      <c r="B46" s="20" t="inlineStr">
        <is>
          <t>GPO462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83" t="n">
        <v>46042</v>
      </c>
      <c r="G46" s="184" t="n">
        <v>46057</v>
      </c>
      <c r="H46" s="24" t="n">
        <v>1440</v>
      </c>
      <c r="I46" s="185">
        <f>IFERROR(VLOOKUP(B39,RemitTable2,7,FALSE()),0)</f>
        <v/>
      </c>
      <c r="J46" s="26" t="n">
        <v>16908206</v>
      </c>
      <c r="K46" s="26">
        <f>IFERROR(ROUND(H39*I39,0),0)</f>
        <v/>
      </c>
      <c r="L46" s="26">
        <f>IFERROR(VLOOKUP(B39,RemitTable2,10,FALSE()),0)</f>
        <v/>
      </c>
      <c r="M46" s="26">
        <f>IFERROR(VLOOKUP(B39,RemitTable2,11,FALSE()),0)</f>
        <v/>
      </c>
      <c r="N46" s="20" t="inlineStr">
        <is>
          <t>TMS-2000 License</t>
        </is>
      </c>
      <c r="O46" s="20" t="inlineStr">
        <is>
          <t>-</t>
        </is>
      </c>
      <c r="P46" s="20" t="inlineStr">
        <is>
          <t>-</t>
        </is>
      </c>
      <c r="Q46" s="24">
        <f>IF(P42="","",IFERROR(VLOOKUP(O42,FxRateTable,4,TRUE),""))</f>
        <v/>
      </c>
      <c r="R46" s="26">
        <f>IF(P39="","",H39)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S39+T39+W39</f>
        <v/>
      </c>
      <c r="AA46" s="26">
        <f>K39+L39+M39+IFERROR(VLOOKUP(B39,RemitTable2,9,FALSE()),0)+Y39+Z39</f>
        <v/>
      </c>
      <c r="AB46" s="27" t="n">
        <v>1</v>
      </c>
      <c r="AC46" s="26">
        <f>ROUND(AA39/AB39,0)</f>
        <v/>
      </c>
      <c r="AD46" s="20" t="inlineStr">
        <is>
          <t>2026-01</t>
        </is>
      </c>
      <c r="AE46" s="184" t="inlineStr">
        <is>
          <t>2026-01-01</t>
        </is>
      </c>
      <c r="AF46" s="183" t="inlineStr">
        <is>
          <t>2026-12-31</t>
        </is>
      </c>
    </row>
    <row r="47" ht="15.75" customHeight="1">
      <c r="A47" s="20" t="n">
        <v>39</v>
      </c>
      <c r="B47" s="20" t="inlineStr">
        <is>
          <t>GPO463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워런티(EW)</t>
        </is>
      </c>
      <c r="F47" s="183" t="n">
        <v>46042</v>
      </c>
      <c r="G47" s="184" t="n">
        <v>46057</v>
      </c>
      <c r="H47" s="24" t="n">
        <v>4489</v>
      </c>
      <c r="I47" s="185">
        <f>IFERROR(VLOOKUP(B40,RemitTable2,7,FALSE()),0)</f>
        <v/>
      </c>
      <c r="J47" s="26" t="n">
        <v>16908206</v>
      </c>
      <c r="K47" s="26">
        <f>IFERROR(ROUND(H40*I40,0),0)</f>
        <v/>
      </c>
      <c r="L47" s="26">
        <f>IFERROR(VLOOKUP(B40,RemitTable2,10,FALSE()),0)</f>
        <v/>
      </c>
      <c r="M47" s="26">
        <f>IFERROR(VLOOKUP(B40,RemitTable2,11,FALSE()),0)</f>
        <v/>
      </c>
      <c r="N47" s="20" t="inlineStr">
        <is>
          <t>SX/SR EW (CGV/Lotte)</t>
        </is>
      </c>
      <c r="O47" s="20" t="inlineStr">
        <is>
          <t>-</t>
        </is>
      </c>
      <c r="P47" s="20" t="inlineStr">
        <is>
          <t>-</t>
        </is>
      </c>
      <c r="Q47" s="24">
        <f>IF(P43="","",IFERROR(VLOOKUP(O43,FxRateTable,4,TRUE),""))</f>
        <v/>
      </c>
      <c r="R47" s="26">
        <f>IF(P40="","",H40)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S40+T40+W40</f>
        <v/>
      </c>
      <c r="AA47" s="26">
        <f>K40+L40+M40+IFERROR(VLOOKUP(B40,RemitTable2,9,FALSE()),0)+Y40+Z40</f>
        <v/>
      </c>
      <c r="AB47" s="27" t="n">
        <v>1</v>
      </c>
      <c r="AC47" s="26">
        <f>ROUND(AA40/AB40,0)</f>
        <v/>
      </c>
      <c r="AD47" s="20" t="inlineStr">
        <is>
          <t>2026-01</t>
        </is>
      </c>
      <c r="AE47" s="184" t="inlineStr">
        <is>
          <t>2026-01-01</t>
        </is>
      </c>
      <c r="AF47" s="183" t="inlineStr">
        <is>
          <t>2026-12-31</t>
        </is>
      </c>
    </row>
    <row r="48" ht="15.75" customHeight="1">
      <c r="A48" s="20" t="n">
        <v>40</v>
      </c>
      <c r="B48" s="20" t="inlineStr">
        <is>
          <t>GPO464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워런티(EW)</t>
        </is>
      </c>
      <c r="F48" s="183" t="n">
        <v>46042</v>
      </c>
      <c r="G48" s="184" t="n">
        <v>46057</v>
      </c>
      <c r="H48" s="24" t="n">
        <v>5670.57</v>
      </c>
      <c r="I48" s="185">
        <f>IFERROR(VLOOKUP(B41,RemitTable2,7,FALSE()),0)</f>
        <v/>
      </c>
      <c r="J48" s="26" t="n">
        <v>16908206</v>
      </c>
      <c r="K48" s="26">
        <f>IFERROR(ROUND(H41*I41,0),0)</f>
        <v/>
      </c>
      <c r="L48" s="26">
        <f>IFERROR(VLOOKUP(B41,RemitTable2,10,FALSE()),0)</f>
        <v/>
      </c>
      <c r="M48" s="26">
        <f>IFERROR(VLOOKUP(B41,RemitTable2,11,FALSE()),0)</f>
        <v/>
      </c>
      <c r="N48" s="20" t="inlineStr">
        <is>
          <t>SR-1000/SX-3000 EW</t>
        </is>
      </c>
      <c r="O48" s="20" t="inlineStr">
        <is>
          <t>-</t>
        </is>
      </c>
      <c r="P48" s="20" t="inlineStr">
        <is>
          <t>-</t>
        </is>
      </c>
      <c r="Q48" s="24">
        <f>IF(P44="","",IFERROR(VLOOKUP(O44,FxRateTable,4,TRUE),""))</f>
        <v/>
      </c>
      <c r="R48" s="26">
        <f>IF(P41="","",H41)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S41+T41+W41</f>
        <v/>
      </c>
      <c r="AA48" s="26">
        <f>K41+L41+M41+IFERROR(VLOOKUP(B41,RemitTable2,9,FALSE()),0)+Y41+Z41</f>
        <v/>
      </c>
      <c r="AB48" s="27" t="n">
        <v>1</v>
      </c>
      <c r="AC48" s="26">
        <f>ROUND(AA41/AB41,0)</f>
        <v/>
      </c>
      <c r="AD48" s="20" t="inlineStr">
        <is>
          <t>2026-01</t>
        </is>
      </c>
      <c r="AE48" s="184" t="inlineStr">
        <is>
          <t>2026-01-01</t>
        </is>
      </c>
      <c r="AF48" s="183" t="inlineStr">
        <is>
          <t>2026-12-31</t>
        </is>
      </c>
    </row>
    <row r="49" ht="15.75" customHeight="1">
      <c r="A49" s="20" t="n">
        <v>41</v>
      </c>
      <c r="B49" s="20" t="inlineStr">
        <is>
          <t>CPO691</t>
        </is>
      </c>
      <c r="C49" s="21" t="inlineStr">
        <is>
          <t>Christie</t>
        </is>
      </c>
      <c r="D49" s="20" t="inlineStr">
        <is>
          <t>Net 45 days</t>
        </is>
      </c>
      <c r="E49" s="21" t="inlineStr">
        <is>
          <t>워런티(EW)</t>
        </is>
      </c>
      <c r="F49" s="183" t="n">
        <v>46057</v>
      </c>
      <c r="G49" s="184" t="n">
        <v>46113</v>
      </c>
      <c r="H49" s="24" t="n">
        <v>24614</v>
      </c>
      <c r="I49" s="185">
        <f>IFERROR(VLOOKUP(B42,RemitTable2,7,FALSE()),0)</f>
        <v/>
      </c>
      <c r="J49" s="26" t="n">
        <v>51777431</v>
      </c>
      <c r="K49" s="26">
        <f>IFERROR(ROUND(H42*I42,0),0)</f>
        <v/>
      </c>
      <c r="L49" s="26">
        <f>IFERROR(VLOOKUP(B42,RemitTable2,10,FALSE()),0)</f>
        <v/>
      </c>
      <c r="M49" s="26">
        <f>IFERROR(VLOOKUP(B42,RemitTable2,11,FALSE()),0)</f>
        <v/>
      </c>
      <c r="N49" s="20" t="inlineStr">
        <is>
          <t>EW (메가박스 외)</t>
        </is>
      </c>
      <c r="O49" s="20" t="inlineStr">
        <is>
          <t>-</t>
        </is>
      </c>
      <c r="P49" s="20" t="inlineStr">
        <is>
          <t>-</t>
        </is>
      </c>
      <c r="Q49" s="24">
        <f>IF(P45="","",IFERROR(VLOOKUP(O45,FxRateTable,4,TRUE),""))</f>
        <v/>
      </c>
      <c r="R49" s="26">
        <f>IF(P42="","",H42)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S42+T42+W42</f>
        <v/>
      </c>
      <c r="AA49" s="26">
        <f>K42+L42+M42+IFERROR(VLOOKUP(B42,RemitTable2,9,FALSE()),0)+Y42+Z42</f>
        <v/>
      </c>
      <c r="AB49" s="27" t="n">
        <v>1</v>
      </c>
      <c r="AC49" s="26">
        <f>ROUND(AA42/AB42,0)</f>
        <v/>
      </c>
      <c r="AD49" s="20" t="inlineStr">
        <is>
          <t>2026-03</t>
        </is>
      </c>
      <c r="AE49" s="184" t="inlineStr">
        <is>
          <t>2026-03-01</t>
        </is>
      </c>
      <c r="AF49" s="183" t="inlineStr">
        <is>
          <t>2027-02-28</t>
        </is>
      </c>
    </row>
    <row r="50" ht="15.75" customHeight="1">
      <c r="A50" s="20" t="n">
        <v>42</v>
      </c>
      <c r="B50" s="20" t="inlineStr">
        <is>
          <t>GPO469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46060</v>
      </c>
      <c r="G50" s="184" t="n">
        <v>46113</v>
      </c>
      <c r="H50" s="24" t="n">
        <v>3993.05</v>
      </c>
      <c r="I50" s="185">
        <f>IFERROR(VLOOKUP(B43,RemitTable2,7,FALSE()),0)</f>
        <v/>
      </c>
      <c r="J50" s="26" t="n">
        <v>9919642</v>
      </c>
      <c r="K50" s="26">
        <f>IFERROR(ROUND(H43*I43,0),0)</f>
        <v/>
      </c>
      <c r="L50" s="26">
        <f>IFERROR(VLOOKUP(B43,RemitTable2,10,FALSE()),0)</f>
        <v/>
      </c>
      <c r="M50" s="26">
        <f>IFERROR(VLOOKUP(B43,RemitTable2,11,FALSE()),0)</f>
        <v/>
      </c>
      <c r="N50" s="20" t="inlineStr">
        <is>
          <t>SR/SX EW (하남미사 외)</t>
        </is>
      </c>
      <c r="O50" s="20" t="inlineStr">
        <is>
          <t>-</t>
        </is>
      </c>
      <c r="P50" s="20" t="inlineStr">
        <is>
          <t>-</t>
        </is>
      </c>
      <c r="Q50" s="24">
        <f>IF(P46="","",IFERROR(VLOOKUP(O46,FxRateTable,4,TRUE),""))</f>
        <v/>
      </c>
      <c r="R50" s="26">
        <f>IF(P43="","",H43)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S43+T43+W43</f>
        <v/>
      </c>
      <c r="AA50" s="26">
        <f>K43+L43+M43+IFERROR(VLOOKUP(B43,RemitTable2,9,FALSE()),0)+Y43+Z43</f>
        <v/>
      </c>
      <c r="AB50" s="27" t="n">
        <v>1</v>
      </c>
      <c r="AC50" s="26">
        <f>ROUND(AA43/AB43,0)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2027-02-22</t>
        </is>
      </c>
    </row>
    <row r="51" ht="15.75" customHeight="1">
      <c r="A51" s="20" t="n">
        <v>43</v>
      </c>
      <c r="B51" s="20" t="inlineStr">
        <is>
          <t>GPO470</t>
        </is>
      </c>
      <c r="C51" s="21" t="inlineStr">
        <is>
          <t>GDC</t>
        </is>
      </c>
      <c r="D51" s="20" t="inlineStr">
        <is>
          <t>Net 30 days</t>
        </is>
      </c>
      <c r="E51" s="21" t="inlineStr">
        <is>
          <t>라이센스</t>
        </is>
      </c>
      <c r="F51" s="183" t="n">
        <v>46080</v>
      </c>
      <c r="G51" s="184" t="n">
        <v>46113</v>
      </c>
      <c r="H51" s="24" t="n">
        <v>360</v>
      </c>
      <c r="I51" s="185">
        <f>IFERROR(VLOOKUP(B44,RemitTable2,7,FALSE()),0)</f>
        <v/>
      </c>
      <c r="J51" s="26" t="n">
        <v>9919642</v>
      </c>
      <c r="K51" s="26">
        <f>IFERROR(ROUND(H44*I44,0),0)</f>
        <v/>
      </c>
      <c r="L51" s="26">
        <f>IFERROR(VLOOKUP(B44,RemitTable2,10,FALSE()),0)</f>
        <v/>
      </c>
      <c r="M51" s="26">
        <f>IFERROR(VLOOKUP(B44,RemitTable2,11,FALSE()),0)</f>
        <v/>
      </c>
      <c r="N51" s="20" t="inlineStr">
        <is>
          <t>TMS-1000 License</t>
        </is>
      </c>
      <c r="O51" s="20" t="inlineStr">
        <is>
          <t>-</t>
        </is>
      </c>
      <c r="P51" s="20" t="inlineStr">
        <is>
          <t>-</t>
        </is>
      </c>
      <c r="Q51" s="24">
        <f>IF(P47="","",IFERROR(VLOOKUP(O47,FxRateTable,4,TRUE),""))</f>
        <v/>
      </c>
      <c r="R51" s="26">
        <f>IF(P44="","",H44)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S44+T44+W44</f>
        <v/>
      </c>
      <c r="AA51" s="26">
        <f>K44+L44+M44+IFERROR(VLOOKUP(B44,RemitTable2,9,FALSE()),0)+Y44+Z44</f>
        <v/>
      </c>
      <c r="AB51" s="27" t="n">
        <v>1</v>
      </c>
      <c r="AC51" s="26">
        <f>ROUND(AA44/AB44,0)</f>
        <v/>
      </c>
      <c r="AD51" s="20" t="inlineStr">
        <is>
          <t>2026-03</t>
        </is>
      </c>
      <c r="AE51" s="184" t="inlineStr">
        <is>
          <t>2026-03-01</t>
        </is>
      </c>
      <c r="AF51" s="183" t="inlineStr">
        <is>
          <t>2027-02-28</t>
        </is>
      </c>
    </row>
    <row r="52" ht="15.75" customHeight="1">
      <c r="A52" s="20" t="n">
        <v>44</v>
      </c>
      <c r="B52" s="20" t="inlineStr">
        <is>
          <t>GPO471</t>
        </is>
      </c>
      <c r="C52" s="21" t="inlineStr">
        <is>
          <t>GDC</t>
        </is>
      </c>
      <c r="D52" s="20" t="inlineStr">
        <is>
          <t>Net 30 days</t>
        </is>
      </c>
      <c r="E52" s="21" t="inlineStr">
        <is>
          <t>라이센스</t>
        </is>
      </c>
      <c r="F52" s="183" t="n">
        <v>46088</v>
      </c>
      <c r="G52" s="184" t="n">
        <v>46113</v>
      </c>
      <c r="H52" s="24" t="n">
        <v>500</v>
      </c>
      <c r="I52" s="185">
        <f>IFERROR(VLOOKUP(B45,RemitTable2,7,FALSE()),0)</f>
        <v/>
      </c>
      <c r="J52" s="26" t="n">
        <v>9919642</v>
      </c>
      <c r="K52" s="26">
        <f>IFERROR(ROUND(H45*I45,0),0)</f>
        <v/>
      </c>
      <c r="L52" s="26">
        <f>IFERROR(VLOOKUP(B45,RemitTable2,10,FALSE()),0)</f>
        <v/>
      </c>
      <c r="M52" s="26">
        <f>IFERROR(VLOOKUP(B45,RemitTable2,11,FALSE()),0)</f>
        <v/>
      </c>
      <c r="N52" s="20" t="inlineStr">
        <is>
          <t>Dolby Atmos License</t>
        </is>
      </c>
      <c r="O52" s="20" t="inlineStr">
        <is>
          <t>-</t>
        </is>
      </c>
      <c r="P52" s="20" t="inlineStr">
        <is>
          <t>-</t>
        </is>
      </c>
      <c r="Q52" s="24">
        <f>IF(P48="","",IFERROR(VLOOKUP(O48,FxRateTable,4,TRUE),""))</f>
        <v/>
      </c>
      <c r="R52" s="26">
        <f>IF(P45="","",H45)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S45+T45+W45</f>
        <v/>
      </c>
      <c r="AA52" s="26">
        <f>K45+L45+M45+IFERROR(VLOOKUP(B45,RemitTable2,9,FALSE()),0)+Y45+Z45</f>
        <v/>
      </c>
      <c r="AB52" s="27" t="n">
        <v>1</v>
      </c>
      <c r="AC52" s="26">
        <f>ROUND(AA45/AB45,0)</f>
        <v/>
      </c>
      <c r="AD52" s="20" t="inlineStr">
        <is>
          <t>2026-03</t>
        </is>
      </c>
      <c r="AE52" s="184" t="inlineStr">
        <is>
          <t>-</t>
        </is>
      </c>
      <c r="AF52" s="183" t="inlineStr">
        <is>
          <t>-</t>
        </is>
      </c>
    </row>
    <row r="53" ht="15.75" customHeight="1">
      <c r="A53" s="20" t="n">
        <v>45</v>
      </c>
      <c r="B53" s="20" t="inlineStr">
        <is>
          <t>CPO694</t>
        </is>
      </c>
      <c r="C53" s="21" t="inlineStr">
        <is>
          <t>Christie</t>
        </is>
      </c>
      <c r="D53" s="20" t="inlineStr">
        <is>
          <t>Net 45 days</t>
        </is>
      </c>
      <c r="E53" s="21" t="inlineStr">
        <is>
          <t>워런티(EW)</t>
        </is>
      </c>
      <c r="F53" s="183" t="n">
        <v>46109</v>
      </c>
      <c r="G53" s="184" t="n">
        <v>46146</v>
      </c>
      <c r="H53" s="24" t="n">
        <v>17404</v>
      </c>
      <c r="I53" s="185">
        <f>IFERROR(VLOOKUP(B49,RemitTable2,7,FALSE()),0)</f>
        <v/>
      </c>
      <c r="J53" s="26" t="n">
        <v>0</v>
      </c>
      <c r="K53" s="26">
        <f>IFERROR(ROUND(H49*I49,0),0)</f>
        <v/>
      </c>
      <c r="L53" s="26">
        <f>IFERROR(VLOOKUP(B49,RemitTable2,10,FALSE()),0)</f>
        <v/>
      </c>
      <c r="M53" s="26">
        <f>IFERROR(VLOOKUP(B49,RemitTable2,11,FALSE()),0)</f>
        <v/>
      </c>
      <c r="N53" s="20" t="inlineStr">
        <is>
          <t>EW (CGV 동백 외)</t>
        </is>
      </c>
      <c r="O53" s="20" t="inlineStr">
        <is>
          <t>-</t>
        </is>
      </c>
      <c r="P53" s="20" t="inlineStr">
        <is>
          <t>-</t>
        </is>
      </c>
      <c r="Q53" s="24">
        <f>IF(P49="","",IFERROR(VLOOKUP(O49,FxRateTable,4,TRUE),""))</f>
        <v/>
      </c>
      <c r="R53" s="26">
        <f>IF(P49="","",H49)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S49+T49+W49</f>
        <v/>
      </c>
      <c r="AA53" s="26">
        <f>K49+L49+M49+IFERROR(VLOOKUP(B49,RemitTable2,9,FALSE()),0)+Y49+Z49</f>
        <v/>
      </c>
      <c r="AB53" s="27" t="n">
        <v>1</v>
      </c>
      <c r="AC53" s="26">
        <f>ROUND(AA49/AB49,0)</f>
        <v/>
      </c>
      <c r="AD53" s="20" t="inlineStr">
        <is>
          <t>2026-04</t>
        </is>
      </c>
      <c r="AE53" s="184" t="inlineStr">
        <is>
          <t>2026-04-01</t>
        </is>
      </c>
      <c r="AF53" s="183" t="inlineStr">
        <is>
          <t>2027-03-31</t>
        </is>
      </c>
    </row>
    <row r="54" ht="15.75" customHeight="1">
      <c r="A54" s="85" t="n">
        <v>46</v>
      </c>
      <c r="B54" s="85" t="inlineStr">
        <is>
          <t>CPO697</t>
        </is>
      </c>
      <c r="C54" s="85" t="inlineStr">
        <is>
          <t>Christie</t>
        </is>
      </c>
      <c r="D54" s="85" t="inlineStr">
        <is>
          <t>Net 45 days</t>
        </is>
      </c>
      <c r="E54" s="85" t="inlineStr">
        <is>
          <t>워런티(EW)</t>
        </is>
      </c>
      <c r="F54" s="186" t="n">
        <v>46136</v>
      </c>
      <c r="G54" s="186" t="inlineStr">
        <is>
          <t>-</t>
        </is>
      </c>
      <c r="H54" s="87" t="n">
        <v>15289</v>
      </c>
      <c r="I54" s="187">
        <f>IFERROR(VLOOKUP(B50,RemitTable2,7,FALSE()),0)</f>
        <v/>
      </c>
      <c r="J54" s="89" t="n">
        <v>0</v>
      </c>
      <c r="K54" s="89">
        <f>IFERROR(ROUND(H50*I50,0),0)</f>
        <v/>
      </c>
      <c r="L54" s="89">
        <f>IFERROR(VLOOKUP(B50,RemitTable2,10,FALSE()),0)</f>
        <v/>
      </c>
      <c r="M54" s="89">
        <f>IFERROR(VLOOKUP(B50,RemitTable2,11,FALSE()),0)</f>
        <v/>
      </c>
      <c r="N54" s="85" t="inlineStr">
        <is>
          <t>EW CP4425/CP2308/CP2315/CP2309/CP2320 13대 (메가박스 북대구 외)</t>
        </is>
      </c>
      <c r="O54" s="186" t="inlineStr">
        <is>
          <t>-</t>
        </is>
      </c>
      <c r="P54" s="85" t="inlineStr">
        <is>
          <t>-</t>
        </is>
      </c>
      <c r="Q54" s="87">
        <f>IF(P50="","",IFERROR(VLOOKUP(O50,FxRateTable,4,TRUE),""))</f>
        <v/>
      </c>
      <c r="R54" s="87">
        <f>IF(P50="","",H50)</f>
        <v/>
      </c>
      <c r="S54" s="89" t="n">
        <v>0</v>
      </c>
      <c r="T54" s="89" t="n">
        <v>0</v>
      </c>
      <c r="U54" s="186" t="n"/>
      <c r="V54" s="85" t="inlineStr">
        <is>
          <t>-</t>
        </is>
      </c>
      <c r="W54" s="89" t="n">
        <v>0</v>
      </c>
      <c r="X54" s="85" t="inlineStr">
        <is>
          <t>-</t>
        </is>
      </c>
      <c r="Y54" s="89" t="n">
        <v>0</v>
      </c>
      <c r="Z54" s="89">
        <f>S50+T50+W50</f>
        <v/>
      </c>
      <c r="AA54" s="89">
        <f>K50+L50+M50+IFERROR(VLOOKUP(B50,RemitTable2,9,FALSE()),0)+Y50+Z50</f>
        <v/>
      </c>
      <c r="AB54" s="90" t="n">
        <v>1</v>
      </c>
      <c r="AC54" s="89">
        <f>ROUND(AA50/AB50,0)</f>
        <v/>
      </c>
      <c r="AD54" s="85" t="inlineStr">
        <is>
          <t>2026-04</t>
        </is>
      </c>
      <c r="AE54" s="186" t="n"/>
      <c r="AF54" s="186" t="n"/>
    </row>
    <row r="55" ht="15.75" customHeight="1">
      <c r="A55" s="85" t="n">
        <v>47</v>
      </c>
      <c r="B55" s="85" t="inlineStr">
        <is>
          <t>CPO693-2</t>
        </is>
      </c>
      <c r="C55" s="85" t="inlineStr">
        <is>
          <t>Christie</t>
        </is>
      </c>
      <c r="D55" s="85" t="inlineStr">
        <is>
          <t>Net 45 days</t>
        </is>
      </c>
      <c r="E55" s="85" t="inlineStr">
        <is>
          <t>워런티(EW)</t>
        </is>
      </c>
      <c r="F55" s="186" t="n">
        <v>46133</v>
      </c>
      <c r="G55" s="186" t="inlineStr">
        <is>
          <t>-</t>
        </is>
      </c>
      <c r="H55" s="87" t="n">
        <v>2550</v>
      </c>
      <c r="I55" s="187">
        <f>IFERROR(VLOOKUP(B51,RemitTable2,7,FALSE()),0)</f>
        <v/>
      </c>
      <c r="J55" s="89" t="n">
        <v>0</v>
      </c>
      <c r="K55" s="89">
        <f>IFERROR(ROUND(H51*I51,0),0)</f>
        <v/>
      </c>
      <c r="L55" s="89">
        <f>IFERROR(VLOOKUP(B51,RemitTable2,10,FALSE()),0)</f>
        <v/>
      </c>
      <c r="M55" s="89">
        <f>IFERROR(VLOOKUP(B51,RemitTable2,11,FALSE()),0)</f>
        <v/>
      </c>
      <c r="N55" s="85" t="inlineStr">
        <is>
          <t>CP4420-RGB 2년 워런티 (CGV 구미)</t>
        </is>
      </c>
      <c r="O55" s="186" t="inlineStr">
        <is>
          <t>-</t>
        </is>
      </c>
      <c r="P55" s="85" t="inlineStr">
        <is>
          <t>-</t>
        </is>
      </c>
      <c r="Q55" s="87">
        <f>IF(P51="","",IFERROR(VLOOKUP(O51,FxRateTable,4,TRUE),""))</f>
        <v/>
      </c>
      <c r="R55" s="87">
        <f>IF(P51="","",H51)</f>
        <v/>
      </c>
      <c r="S55" s="89" t="n">
        <v>0</v>
      </c>
      <c r="T55" s="89" t="n">
        <v>0</v>
      </c>
      <c r="U55" s="186" t="n"/>
      <c r="V55" s="85" t="inlineStr">
        <is>
          <t>-</t>
        </is>
      </c>
      <c r="W55" s="89" t="n">
        <v>0</v>
      </c>
      <c r="X55" s="85" t="inlineStr">
        <is>
          <t>-</t>
        </is>
      </c>
      <c r="Y55" s="89" t="n">
        <v>0</v>
      </c>
      <c r="Z55" s="89">
        <f>S51+T51+W51</f>
        <v/>
      </c>
      <c r="AA55" s="89">
        <f>K51+L51+M51+IFERROR(VLOOKUP(B51,RemitTable2,9,FALSE()),0)+Y51+Z51</f>
        <v/>
      </c>
      <c r="AB55" s="90" t="n">
        <v>1</v>
      </c>
      <c r="AC55" s="89">
        <f>ROUND(AA51/AB51,0)</f>
        <v/>
      </c>
      <c r="AD55" s="85" t="inlineStr">
        <is>
          <t>2026-04</t>
        </is>
      </c>
      <c r="AE55" s="186" t="n"/>
      <c r="AF55" s="186" t="n"/>
    </row>
    <row r="56" ht="15.75" customHeight="1">
      <c r="A56" s="132" t="n">
        <v>54</v>
      </c>
      <c r="B56" s="132" t="inlineStr">
        <is>
          <t>GPO478</t>
        </is>
      </c>
      <c r="C56" s="132" t="inlineStr">
        <is>
          <t>GDC</t>
        </is>
      </c>
      <c r="D56" s="132" t="inlineStr">
        <is>
          <t>Net 30 days</t>
        </is>
      </c>
      <c r="E56" s="132" t="inlineStr">
        <is>
          <t>라이센스</t>
        </is>
      </c>
      <c r="F56" s="188" t="n">
        <v>46127</v>
      </c>
      <c r="G56" s="132" t="inlineStr">
        <is>
          <t>-</t>
        </is>
      </c>
      <c r="H56" s="134" t="n">
        <v>180</v>
      </c>
      <c r="I56" s="134">
        <f>IFERROR(VLOOKUP(B56,RemitTable2,7,FALSE),0)</f>
        <v/>
      </c>
      <c r="J56" s="136" t="n">
        <v>0</v>
      </c>
      <c r="K56" s="136">
        <f>IFERROR(ROUND(H56*I56,0),0)</f>
        <v/>
      </c>
      <c r="L56" s="136">
        <f>IFERROR(VLOOKUP(B56,RemitTable2,10,FALSE),0)</f>
        <v/>
      </c>
      <c r="M56" s="136">
        <f>IFERROR(VLOOKUP(B56,RemitTable2,11,FALSE),0)</f>
        <v/>
      </c>
      <c r="N56" s="137" t="n"/>
      <c r="O56" s="137" t="n"/>
      <c r="P56" s="137" t="n"/>
      <c r="Q56" s="134">
        <f>IF(P56="","",IFERROR(VLOOKUP(O56,FxRateTable,4,TRUE),""))</f>
        <v/>
      </c>
      <c r="R56" s="134">
        <f>IF(P56="","",H56)</f>
        <v/>
      </c>
      <c r="S56" s="136" t="n">
        <v>0</v>
      </c>
      <c r="T56" s="136" t="n">
        <v>0</v>
      </c>
      <c r="U56" s="137" t="n"/>
      <c r="V56" s="137" t="n"/>
      <c r="W56" s="136" t="n">
        <v>0</v>
      </c>
      <c r="X56" s="132" t="inlineStr">
        <is>
          <t>-</t>
        </is>
      </c>
      <c r="Y56" s="136" t="n">
        <v>0</v>
      </c>
      <c r="Z56" s="136">
        <f>S56+T56+W56</f>
        <v/>
      </c>
      <c r="AA56" s="136">
        <f>K56+L56+M56+IFERROR(VLOOKUP(B56,RemitTable2,9,FALSE),0)+Y56+Z56</f>
        <v/>
      </c>
      <c r="AB56" s="168" t="n">
        <v>2</v>
      </c>
      <c r="AC56" s="136">
        <f>ROUND(AA56/AB56,0)</f>
        <v/>
      </c>
      <c r="AD56" s="137" t="n"/>
      <c r="AE56" s="189" t="n">
        <v>46143</v>
      </c>
      <c r="AF56" s="189" t="n">
        <v>46507</v>
      </c>
    </row>
    <row r="57" ht="15.75" customHeight="1">
      <c r="A57" s="132" t="n">
        <v>55</v>
      </c>
      <c r="B57" s="132" t="inlineStr">
        <is>
          <t>GPO480</t>
        </is>
      </c>
      <c r="C57" s="132" t="inlineStr">
        <is>
          <t>GDC</t>
        </is>
      </c>
      <c r="D57" s="132" t="inlineStr">
        <is>
          <t>Net 30 days</t>
        </is>
      </c>
      <c r="E57" s="132" t="inlineStr">
        <is>
          <t>라이센스</t>
        </is>
      </c>
      <c r="F57" s="188" t="n">
        <v>46137</v>
      </c>
      <c r="G57" s="132" t="inlineStr">
        <is>
          <t>-</t>
        </is>
      </c>
      <c r="H57" s="134" t="n">
        <v>250</v>
      </c>
      <c r="I57" s="134">
        <f>IFERROR(VLOOKUP(B57,RemitTable2,7,FALSE),0)</f>
        <v/>
      </c>
      <c r="J57" s="136" t="n">
        <v>0</v>
      </c>
      <c r="K57" s="136">
        <f>IFERROR(ROUND(H57*I57,0),0)</f>
        <v/>
      </c>
      <c r="L57" s="136">
        <f>IFERROR(VLOOKUP(B57,RemitTable2,10,FALSE),0)</f>
        <v/>
      </c>
      <c r="M57" s="136">
        <f>IFERROR(VLOOKUP(B57,RemitTable2,11,FALSE),0)</f>
        <v/>
      </c>
      <c r="N57" s="137" t="n"/>
      <c r="O57" s="137" t="n"/>
      <c r="P57" s="137" t="n"/>
      <c r="Q57" s="134">
        <f>IF(P57="","",IFERROR(VLOOKUP(O57,FxRateTable,4,TRUE),""))</f>
        <v/>
      </c>
      <c r="R57" s="134">
        <f>IF(P57="","",H57)</f>
        <v/>
      </c>
      <c r="S57" s="136" t="n">
        <v>0</v>
      </c>
      <c r="T57" s="136" t="n">
        <v>0</v>
      </c>
      <c r="U57" s="137" t="n"/>
      <c r="V57" s="137" t="n"/>
      <c r="W57" s="136" t="n">
        <v>0</v>
      </c>
      <c r="X57" s="132" t="inlineStr">
        <is>
          <t>-</t>
        </is>
      </c>
      <c r="Y57" s="136" t="n">
        <v>0</v>
      </c>
      <c r="Z57" s="136">
        <f>S57+T57+W57</f>
        <v/>
      </c>
      <c r="AA57" s="136">
        <f>K57+L57+M57+IFERROR(VLOOKUP(B57,RemitTable2,9,FALSE),0)+Y57+Z57</f>
        <v/>
      </c>
      <c r="AB57" s="168" t="n">
        <v>1</v>
      </c>
      <c r="AC57" s="136">
        <f>ROUND(AA57/AB57,0)</f>
        <v/>
      </c>
      <c r="AD57" s="137" t="n"/>
      <c r="AE57" s="137" t="n"/>
      <c r="AF57" s="137" t="n"/>
    </row>
    <row r="58" ht="15.75" customHeight="1">
      <c r="A58" s="132" t="n">
        <v>56</v>
      </c>
      <c r="B58" s="132" t="inlineStr">
        <is>
          <t>GPO481</t>
        </is>
      </c>
      <c r="C58" s="132" t="inlineStr">
        <is>
          <t>GDC</t>
        </is>
      </c>
      <c r="D58" s="132" t="inlineStr">
        <is>
          <t>Net 30 days</t>
        </is>
      </c>
      <c r="E58" s="132" t="inlineStr">
        <is>
          <t>라이센스</t>
        </is>
      </c>
      <c r="F58" s="188" t="n">
        <v>46152</v>
      </c>
      <c r="G58" s="132" t="inlineStr">
        <is>
          <t>-</t>
        </is>
      </c>
      <c r="H58" s="134" t="n">
        <v>500</v>
      </c>
      <c r="I58" s="134">
        <f>IFERROR(VLOOKUP(B58,RemitTable2,7,FALSE),0)</f>
        <v/>
      </c>
      <c r="J58" s="136" t="n">
        <v>0</v>
      </c>
      <c r="K58" s="136">
        <f>IFERROR(ROUND(H58*I58,0),0)</f>
        <v/>
      </c>
      <c r="L58" s="136">
        <f>IFERROR(VLOOKUP(B58,RemitTable2,10,FALSE),0)</f>
        <v/>
      </c>
      <c r="M58" s="136">
        <f>IFERROR(VLOOKUP(B58,RemitTable2,11,FALSE),0)</f>
        <v/>
      </c>
      <c r="N58" s="137" t="n"/>
      <c r="O58" s="137" t="n"/>
      <c r="P58" s="137" t="n"/>
      <c r="Q58" s="134">
        <f>IF(P58="","",IFERROR(VLOOKUP(O58,FxRateTable,4,TRUE),""))</f>
        <v/>
      </c>
      <c r="R58" s="134">
        <f>IF(P58="","",H58)</f>
        <v/>
      </c>
      <c r="S58" s="136" t="n">
        <v>0</v>
      </c>
      <c r="T58" s="136" t="n">
        <v>0</v>
      </c>
      <c r="U58" s="137" t="n"/>
      <c r="V58" s="137" t="n"/>
      <c r="W58" s="136" t="n">
        <v>0</v>
      </c>
      <c r="X58" s="132" t="inlineStr">
        <is>
          <t>-</t>
        </is>
      </c>
      <c r="Y58" s="136" t="n">
        <v>0</v>
      </c>
      <c r="Z58" s="136">
        <f>S58+T58+W58</f>
        <v/>
      </c>
      <c r="AA58" s="136">
        <f>K58+L58+M58+IFERROR(VLOOKUP(B58,RemitTable2,9,FALSE),0)+Y58+Z58</f>
        <v/>
      </c>
      <c r="AB58" s="168" t="n">
        <v>1</v>
      </c>
      <c r="AC58" s="136">
        <f>ROUND(AA58/AB58,0)</f>
        <v/>
      </c>
      <c r="AD58" s="137" t="n"/>
      <c r="AE58" s="137" t="n"/>
      <c r="AF58" s="137" t="n"/>
    </row>
    <row r="59">
      <c r="A59" s="12" t="n">
        <v>48</v>
      </c>
      <c r="B59" s="12" t="inlineStr">
        <is>
          <t>CPO688</t>
        </is>
      </c>
      <c r="C59" s="13" t="inlineStr">
        <is>
          <t>Christie</t>
        </is>
      </c>
      <c r="D59" s="12" t="inlineStr">
        <is>
          <t>Net 45 days</t>
        </is>
      </c>
      <c r="E59" s="13" t="inlineStr">
        <is>
          <t>Inspection</t>
        </is>
      </c>
      <c r="F59" s="176" t="n">
        <v>46037</v>
      </c>
      <c r="G59" s="177" t="inlineStr">
        <is>
          <t>-</t>
        </is>
      </c>
      <c r="H59" s="16" t="n">
        <v>4180</v>
      </c>
      <c r="I59" s="178">
        <f>IFERROR(VLOOKUP(B47,RemitTable2,7,FALSE()),0)</f>
        <v/>
      </c>
      <c r="J59" s="18" t="n">
        <v>0</v>
      </c>
      <c r="K59" s="18">
        <f>IFERROR(ROUND(H47*I47,0),0)</f>
        <v/>
      </c>
      <c r="L59" s="18">
        <f>IFERROR(VLOOKUP(B47,RemitTable2,10,FALSE()),0)</f>
        <v/>
      </c>
      <c r="M59" s="18">
        <f>IFERROR(VLOOKUP(B47,RemitTable2,11,FALSE()),0)</f>
        <v/>
      </c>
      <c r="N59" s="12" t="inlineStr">
        <is>
          <t>Inspection fee</t>
        </is>
      </c>
      <c r="O59" s="12" t="inlineStr">
        <is>
          <t>-</t>
        </is>
      </c>
      <c r="P59" s="12" t="inlineStr">
        <is>
          <t>-</t>
        </is>
      </c>
      <c r="Q59" s="16">
        <f>IF(P52="","",IFERROR(VLOOKUP(O52,FxRateTable,4,TRUE),""))</f>
        <v/>
      </c>
      <c r="R59" s="18">
        <f>IF(P47="","",H47)</f>
        <v/>
      </c>
      <c r="S59" s="18" t="n">
        <v>0</v>
      </c>
      <c r="T59" s="18" t="n">
        <v>0</v>
      </c>
      <c r="U59" s="13" t="n">
        <v>0</v>
      </c>
      <c r="V59" s="12" t="inlineStr">
        <is>
          <t>-</t>
        </is>
      </c>
      <c r="W59" s="18" t="n">
        <v>0</v>
      </c>
      <c r="X59" s="13" t="inlineStr">
        <is>
          <t>-</t>
        </is>
      </c>
      <c r="Y59" s="18" t="n">
        <v>0</v>
      </c>
      <c r="Z59" s="18">
        <f>S47+T47+W47</f>
        <v/>
      </c>
      <c r="AA59" s="18">
        <f>K47+L47+M47+IFERROR(VLOOKUP(B47,RemitTable2,9,FALSE()),0)+Y47+Z47</f>
        <v/>
      </c>
      <c r="AB59" s="19" t="n">
        <v>1</v>
      </c>
      <c r="AC59" s="18">
        <f>ROUND(AA47/AB47,0)</f>
        <v/>
      </c>
      <c r="AD59" s="12" t="inlineStr">
        <is>
          <t>2026-01</t>
        </is>
      </c>
      <c r="AE59" s="177" t="inlineStr">
        <is>
          <t>-</t>
        </is>
      </c>
      <c r="AF59" s="176" t="inlineStr">
        <is>
          <t>-</t>
        </is>
      </c>
    </row>
    <row r="60">
      <c r="A60" s="12" t="n">
        <v>49</v>
      </c>
      <c r="B60" s="12" t="inlineStr">
        <is>
          <t>SX3000수리</t>
        </is>
      </c>
      <c r="C60" s="13" t="inlineStr">
        <is>
          <t>GDC</t>
        </is>
      </c>
      <c r="D60" s="12" t="inlineStr">
        <is>
          <t>-</t>
        </is>
      </c>
      <c r="E60" s="13" t="inlineStr">
        <is>
          <t>수리반환</t>
        </is>
      </c>
      <c r="F60" s="176" t="n"/>
      <c r="G60" s="177" t="n"/>
      <c r="H60" s="16" t="n">
        <v>400</v>
      </c>
      <c r="I60" s="178">
        <f>IFERROR(VLOOKUP(B48,RemitTable2,7,FALSE()),0)</f>
        <v/>
      </c>
      <c r="J60" s="18" t="n">
        <v>0</v>
      </c>
      <c r="K60" s="18">
        <f>IFERROR(ROUND(H48*I48,0),0)</f>
        <v/>
      </c>
      <c r="L60" s="18">
        <f>IFERROR(VLOOKUP(B48,RemitTable2,10,FALSE()),0)</f>
        <v/>
      </c>
      <c r="M60" s="18">
        <f>IFERROR(VLOOKUP(B48,RemitTable2,11,FALSE()),0)</f>
        <v/>
      </c>
      <c r="N60" s="12" t="inlineStr">
        <is>
          <t>Display Card (수리반환 5PCS)</t>
        </is>
      </c>
      <c r="O60" s="177" t="n">
        <v>46125</v>
      </c>
      <c r="P60" s="12" t="inlineStr">
        <is>
          <t>22356-26-351613M</t>
        </is>
      </c>
      <c r="Q60" s="16">
        <f>IF(P53="","",IFERROR(VLOOKUP(O53,FxRateTable,4,TRUE),""))</f>
        <v/>
      </c>
      <c r="R60" s="18">
        <f>IF(P48="","",H48)</f>
        <v/>
      </c>
      <c r="S60" s="18" t="n">
        <v>0</v>
      </c>
      <c r="T60" s="18" t="n">
        <v>67750</v>
      </c>
      <c r="U60" s="13" t="n"/>
      <c r="V60" s="12" t="inlineStr">
        <is>
          <t>운서합동</t>
        </is>
      </c>
      <c r="W60" s="18" t="n">
        <v>0</v>
      </c>
      <c r="X60" s="13" t="inlineStr">
        <is>
          <t>DHL</t>
        </is>
      </c>
      <c r="Y60" s="18" t="n">
        <v>0</v>
      </c>
      <c r="Z60" s="18">
        <f>S48+T48+W48</f>
        <v/>
      </c>
      <c r="AA60" s="18">
        <f>K48+L48+M48+IFERROR(VLOOKUP(B48,RemitTable2,9,FALSE()),0)+Y48+Z48</f>
        <v/>
      </c>
      <c r="AB60" s="19" t="n">
        <v>5</v>
      </c>
      <c r="AC60" s="18">
        <f>ROUND(AA48/AB48,0)</f>
        <v/>
      </c>
      <c r="AD60" s="12" t="inlineStr">
        <is>
          <t>2026-04</t>
        </is>
      </c>
      <c r="AE60" s="177" t="n"/>
      <c r="AF60" s="176" t="n"/>
    </row>
    <row r="61">
      <c r="A61" s="147" t="inlineStr">
        <is>
          <t>장비/부품 합계</t>
        </is>
      </c>
      <c r="B61" s="148" t="n"/>
      <c r="C61" s="148" t="n"/>
      <c r="D61" s="148" t="n"/>
      <c r="E61" s="148" t="n"/>
      <c r="F61" s="148" t="n"/>
      <c r="G61" s="149" t="n"/>
      <c r="H61" s="142">
        <f>SUBTOTAL(9,H5:H36)</f>
        <v/>
      </c>
      <c r="I61" s="141" t="n"/>
      <c r="J61" s="142">
        <f>SUBTOTAL(9,J5:J36)</f>
        <v/>
      </c>
      <c r="K61" s="142">
        <f>SUBTOTAL(9,K5:K36)</f>
        <v/>
      </c>
      <c r="L61" s="142">
        <f>SUBTOTAL(9,L5:L36)</f>
        <v/>
      </c>
      <c r="M61" s="142">
        <f>SUBTOTAL(9,M5:M36)</f>
        <v/>
      </c>
      <c r="N61" s="141" t="n"/>
      <c r="O61" s="141" t="n"/>
      <c r="P61" s="141" t="n"/>
      <c r="Q61" s="142" t="n"/>
      <c r="R61" s="140" t="n"/>
      <c r="S61" s="142">
        <f>SUBTOTAL(9,S5:S36)</f>
        <v/>
      </c>
      <c r="T61" s="142">
        <f>SUBTOTAL(9,T5:T36)</f>
        <v/>
      </c>
      <c r="U61" s="141" t="n"/>
      <c r="V61" s="141" t="n"/>
      <c r="W61" s="142">
        <f>SUBTOTAL(9,W5:W36)</f>
        <v/>
      </c>
      <c r="X61" s="147" t="n"/>
      <c r="Y61" s="142">
        <f>SUBTOTAL(9,Y5:Y36)</f>
        <v/>
      </c>
      <c r="Z61" s="142">
        <f>SUBTOTAL(9,Z5:Z36)</f>
        <v/>
      </c>
      <c r="AA61" s="142">
        <f>SUBTOTAL(9,AA5:AA36)</f>
        <v/>
      </c>
      <c r="AB61" s="147" t="n"/>
      <c r="AC61" s="141" t="n"/>
      <c r="AD61" s="141" t="n"/>
      <c r="AE61" s="141" t="n"/>
      <c r="AF61" s="141" t="n"/>
    </row>
    <row r="62">
      <c r="A62" s="147" t="inlineStr">
        <is>
          <t>라이센스/워런티 합계</t>
        </is>
      </c>
      <c r="B62" s="148" t="n"/>
      <c r="C62" s="148" t="n"/>
      <c r="D62" s="148" t="n"/>
      <c r="E62" s="148" t="n"/>
      <c r="F62" s="148" t="n"/>
      <c r="G62" s="149" t="n"/>
      <c r="H62" s="142">
        <f>SUBTOTAL(9,H37:H58)</f>
        <v/>
      </c>
      <c r="I62" s="141" t="n"/>
      <c r="J62" s="142">
        <f>SUBTOTAL(9,J37:J58)</f>
        <v/>
      </c>
      <c r="K62" s="142">
        <f>SUBTOTAL(9,K37:K58)</f>
        <v/>
      </c>
      <c r="L62" s="142">
        <f>SUBTOTAL(9,L37:L58)</f>
        <v/>
      </c>
      <c r="M62" s="142">
        <f>SUBTOTAL(9,M37:M58)</f>
        <v/>
      </c>
      <c r="N62" s="141" t="n"/>
      <c r="O62" s="141" t="n"/>
      <c r="P62" s="141" t="n"/>
      <c r="Q62" s="142" t="n"/>
      <c r="R62" s="140" t="n"/>
      <c r="S62" s="142">
        <f>SUBTOTAL(9,S37:S58)</f>
        <v/>
      </c>
      <c r="T62" s="142">
        <f>SUBTOTAL(9,T37:T58)</f>
        <v/>
      </c>
      <c r="U62" s="141" t="n"/>
      <c r="V62" s="141" t="n"/>
      <c r="W62" s="142">
        <f>SUBTOTAL(9,W37:W58)</f>
        <v/>
      </c>
      <c r="X62" s="147" t="n"/>
      <c r="Y62" s="142">
        <f>SUBTOTAL(9,Y37:Y58)</f>
        <v/>
      </c>
      <c r="Z62" s="142">
        <f>SUBTOTAL(9,Z37:Z58)</f>
        <v/>
      </c>
      <c r="AA62" s="142">
        <f>SUBTOTAL(9,AA37:AA58)</f>
        <v/>
      </c>
      <c r="AB62" s="147" t="n"/>
      <c r="AC62" s="141" t="n"/>
      <c r="AD62" s="141" t="n"/>
      <c r="AE62" s="141" t="n"/>
      <c r="AF62" s="141" t="n"/>
    </row>
    <row r="63">
      <c r="A63" s="147" t="inlineStr">
        <is>
          <t>기타 합계</t>
        </is>
      </c>
      <c r="B63" s="148" t="n"/>
      <c r="C63" s="148" t="n"/>
      <c r="D63" s="148" t="n"/>
      <c r="E63" s="148" t="n"/>
      <c r="F63" s="148" t="n"/>
      <c r="G63" s="149" t="n"/>
      <c r="H63" s="142">
        <f>H59+H60</f>
        <v/>
      </c>
      <c r="I63" s="141" t="n"/>
      <c r="J63" s="142">
        <f>J59+J60</f>
        <v/>
      </c>
      <c r="K63" s="142">
        <f>K59+K60</f>
        <v/>
      </c>
      <c r="L63" s="142">
        <f>L59+L60</f>
        <v/>
      </c>
      <c r="M63" s="142">
        <f>M59+M60</f>
        <v/>
      </c>
      <c r="N63" s="141" t="n"/>
      <c r="O63" s="141" t="n"/>
      <c r="P63" s="141" t="n"/>
      <c r="Q63" s="142" t="n"/>
      <c r="R63" s="140" t="n"/>
      <c r="S63" s="142">
        <f>S59+S60</f>
        <v/>
      </c>
      <c r="T63" s="142">
        <f>T59+T60</f>
        <v/>
      </c>
      <c r="U63" s="141" t="n"/>
      <c r="V63" s="141" t="n"/>
      <c r="W63" s="142">
        <f>W59+W60</f>
        <v/>
      </c>
      <c r="X63" s="147" t="n"/>
      <c r="Y63" s="142">
        <f>Y59+Y60</f>
        <v/>
      </c>
      <c r="Z63" s="142">
        <f>Z59+Z60</f>
        <v/>
      </c>
      <c r="AA63" s="142">
        <f>AA59+AA60</f>
        <v/>
      </c>
      <c r="AB63" s="147" t="n"/>
      <c r="AC63" s="141" t="n"/>
      <c r="AD63" s="141" t="n"/>
      <c r="AE63" s="141" t="n"/>
      <c r="AF63" s="141" t="n"/>
    </row>
    <row r="64">
      <c r="A64" s="154" t="inlineStr">
        <is>
          <t>총 합계</t>
        </is>
      </c>
      <c r="B64" s="148" t="n"/>
      <c r="C64" s="148" t="n"/>
      <c r="D64" s="148" t="n"/>
      <c r="E64" s="148" t="n"/>
      <c r="F64" s="148" t="n"/>
      <c r="G64" s="149" t="n"/>
      <c r="H64" s="146">
        <f>SUBTOTAL(9,H5:H60)</f>
        <v/>
      </c>
      <c r="I64" s="145" t="n"/>
      <c r="J64" s="146">
        <f>SUBTOTAL(9,J5:J60)</f>
        <v/>
      </c>
      <c r="K64" s="146">
        <f>SUBTOTAL(9,K5:K60)</f>
        <v/>
      </c>
      <c r="L64" s="146">
        <f>SUBTOTAL(9,L5:L60)</f>
        <v/>
      </c>
      <c r="M64" s="146">
        <f>SUBTOTAL(9,M5:M60)</f>
        <v/>
      </c>
      <c r="N64" s="145" t="n"/>
      <c r="O64" s="145" t="n"/>
      <c r="P64" s="145" t="n"/>
      <c r="Q64" s="146" t="n"/>
      <c r="R64" s="144" t="n"/>
      <c r="S64" s="146">
        <f>SUBTOTAL(9,S5:S60)</f>
        <v/>
      </c>
      <c r="T64" s="146">
        <f>SUBTOTAL(9,T5:T60)</f>
        <v/>
      </c>
      <c r="U64" s="145" t="n"/>
      <c r="V64" s="145" t="n"/>
      <c r="W64" s="146">
        <f>SUBTOTAL(9,W5:W60)</f>
        <v/>
      </c>
      <c r="X64" s="154" t="n"/>
      <c r="Y64" s="146">
        <f>SUBTOTAL(9,Y5:Y60)</f>
        <v/>
      </c>
      <c r="Z64" s="146">
        <f>SUBTOTAL(9,Z5:Z60)</f>
        <v/>
      </c>
      <c r="AA64" s="146">
        <f>SUBTOTAL(9,AA5:AA60)</f>
        <v/>
      </c>
      <c r="AB64" s="154" t="n"/>
      <c r="AC64" s="145" t="n"/>
      <c r="AD64" s="145" t="n"/>
      <c r="AE64" s="145" t="n"/>
      <c r="AF64" s="145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75" t="n"/>
      <c r="Y65" s="39" t="n"/>
      <c r="Z65" s="39" t="n"/>
      <c r="AA65" s="39" t="n"/>
      <c r="AB65" s="75" t="n"/>
      <c r="AC65" s="39" t="n"/>
      <c r="AD65" s="39" t="n"/>
      <c r="AE65" s="39" t="n"/>
      <c r="AF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75" t="n"/>
      <c r="Y66" s="39" t="n"/>
      <c r="Z66" s="39" t="n"/>
      <c r="AA66" s="39" t="n"/>
      <c r="AB66" s="75" t="n"/>
      <c r="AC66" s="39" t="n"/>
      <c r="AD66" s="39" t="n"/>
      <c r="AE66" s="39" t="n"/>
      <c r="AF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75" t="n"/>
      <c r="Y67" s="39" t="n"/>
      <c r="Z67" s="39" t="n"/>
      <c r="AA67" s="39" t="n"/>
      <c r="AB67" s="75" t="n"/>
      <c r="AC67" s="39" t="n"/>
      <c r="AD67" s="39" t="n"/>
      <c r="AE67" s="39" t="n"/>
      <c r="AF67" s="39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75" t="n"/>
      <c r="Y68" s="39" t="n"/>
      <c r="Z68" s="39" t="n"/>
      <c r="AA68" s="39" t="n"/>
      <c r="AB68" s="75" t="n"/>
      <c r="AC68" s="39" t="n"/>
      <c r="AD68" s="39" t="n"/>
      <c r="AE68" s="39" t="n"/>
      <c r="AF68" s="39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83">
      <c r="M83" s="40" t="n"/>
    </row>
  </sheetData>
  <mergeCells count="12">
    <mergeCell ref="AA3:AC3"/>
    <mergeCell ref="A61:G61"/>
    <mergeCell ref="G3:N3"/>
    <mergeCell ref="A1:AF1"/>
    <mergeCell ref="A62:G62"/>
    <mergeCell ref="AD3:AF3"/>
    <mergeCell ref="A64:G64"/>
    <mergeCell ref="X3:Z3"/>
    <mergeCell ref="A3:F3"/>
    <mergeCell ref="A63:G6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홀딩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20" t="inlineStr">
        <is>
          <t>-</t>
        </is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inlineStr">
        <is>
          <t>-</t>
        </is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115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</row>
    <row r="28" ht="15.75" customHeight="1">
      <c r="A28" s="115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</row>
    <row r="29" ht="15.75" customHeight="1">
      <c r="A29" s="115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  <c r="M29" s="115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69" t="inlineStr">
        <is>
          <t>② PO별 비용 안분 내역</t>
        </is>
      </c>
      <c r="B35" s="148" t="n"/>
      <c r="C35" s="148" t="n"/>
      <c r="D35" s="148" t="n"/>
      <c r="E35" s="148" t="n"/>
      <c r="F35" s="148" t="n"/>
      <c r="G35" s="148" t="n"/>
      <c r="H35" s="148" t="n"/>
      <c r="I35" s="148" t="n"/>
      <c r="J35" s="148" t="n"/>
      <c r="K35" s="148" t="n"/>
      <c r="L35" s="149" t="n"/>
      <c r="M35" s="115" t="n"/>
    </row>
    <row r="36" ht="15.75" customHeight="1">
      <c r="A36" s="150" t="inlineStr">
        <is>
          <t>PO No.</t>
        </is>
      </c>
      <c r="B36" s="150" t="inlineStr">
        <is>
          <t>송금일</t>
        </is>
      </c>
      <c r="C36" s="150" t="inlineStr">
        <is>
          <t>업체</t>
        </is>
      </c>
      <c r="D36" s="150" t="inlineStr">
        <is>
          <t>PO USD</t>
        </is>
      </c>
      <c r="E36" s="150" t="inlineStr">
        <is>
          <t>그룹총USD</t>
        </is>
      </c>
      <c r="F36" s="150" t="inlineStr">
        <is>
          <t>배부비율</t>
        </is>
      </c>
      <c r="G36" s="150" t="inlineStr">
        <is>
          <t>적용환율</t>
        </is>
      </c>
      <c r="H36" s="150" t="inlineStr">
        <is>
          <t>원화환산액</t>
        </is>
      </c>
      <c r="I36" s="150" t="inlineStr">
        <is>
          <t>중개수수료안분</t>
        </is>
      </c>
      <c r="J36" s="150" t="inlineStr">
        <is>
          <t>수수료안분</t>
        </is>
      </c>
      <c r="K36" s="150" t="inlineStr">
        <is>
          <t>전신료안분</t>
        </is>
      </c>
      <c r="L36" s="150" t="inlineStr">
        <is>
          <t>합계</t>
        </is>
      </c>
      <c r="M36" s="115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08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15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08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15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08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15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08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15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08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15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08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15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08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15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08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15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08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15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08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15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08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15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08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15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08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15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08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15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08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15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08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15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08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15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08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15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08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15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08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15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08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15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08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15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08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15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08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15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08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15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08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15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08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15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08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15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08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15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08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15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08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15" t="n"/>
    </row>
    <row r="68" ht="15.75" customHeight="1">
      <c r="A68" s="96" t="inlineStr">
        <is>
          <t>CPO692-1</t>
        </is>
      </c>
      <c r="B68" s="96" t="inlineStr">
        <is>
          <t>2026.04.22</t>
        </is>
      </c>
      <c r="C68" s="97" t="inlineStr">
        <is>
          <t>Christie</t>
        </is>
      </c>
      <c r="D68" s="98" t="n">
        <v>11000</v>
      </c>
      <c r="E68" s="98" t="n">
        <v>297580</v>
      </c>
      <c r="F68" s="109">
        <f>D68/E68</f>
        <v/>
      </c>
      <c r="G68" s="98">
        <f>F33</f>
        <v/>
      </c>
      <c r="H68" s="99">
        <f>ROUND(D68*G68,0)</f>
        <v/>
      </c>
      <c r="I68" s="99">
        <f>ROUND(G33*F68*G68,0)</f>
        <v/>
      </c>
      <c r="J68" s="99">
        <f>ROUND(H33*F68,0)</f>
        <v/>
      </c>
      <c r="K68" s="99">
        <f>ROUND(I33*F68,0)</f>
        <v/>
      </c>
      <c r="L68" s="100">
        <f>H68+I68+J68+K68</f>
        <v/>
      </c>
      <c r="M68" s="115" t="n"/>
    </row>
    <row r="69" ht="15.75" customHeight="1">
      <c r="A69" s="96" t="inlineStr">
        <is>
          <t>CPO692-2</t>
        </is>
      </c>
      <c r="B69" s="96" t="inlineStr">
        <is>
          <t>2026.04.22</t>
        </is>
      </c>
      <c r="C69" s="97" t="inlineStr">
        <is>
          <t>Christie</t>
        </is>
      </c>
      <c r="D69" s="98" t="n">
        <v>286580</v>
      </c>
      <c r="E69" s="98" t="n">
        <v>297580</v>
      </c>
      <c r="F69" s="109">
        <f>D69/E69</f>
        <v/>
      </c>
      <c r="G69" s="98">
        <f>F33</f>
        <v/>
      </c>
      <c r="H69" s="99">
        <f>ROUND(D69*G69,0)</f>
        <v/>
      </c>
      <c r="I69" s="99">
        <f>ROUND(G33*F69*G69,0)</f>
        <v/>
      </c>
      <c r="J69" s="99">
        <f>ROUND(H33*F69,0)</f>
        <v/>
      </c>
      <c r="K69" s="99">
        <f>ROUND(I33*F69,0)</f>
        <v/>
      </c>
      <c r="L69" s="100">
        <f>H69+I69+J69+K69</f>
        <v/>
      </c>
      <c r="M69" s="115" t="n"/>
    </row>
    <row r="70">
      <c r="A70" s="96" t="inlineStr">
        <is>
          <t>EPO18</t>
        </is>
      </c>
      <c r="B70" s="96" t="inlineStr">
        <is>
          <t>2026.04.22</t>
        </is>
      </c>
      <c r="C70" s="97" t="inlineStr">
        <is>
          <t>MAICO Italia</t>
        </is>
      </c>
      <c r="D70" s="98" t="n">
        <v>4388.4</v>
      </c>
      <c r="E70" s="98" t="n">
        <v>4388.4</v>
      </c>
      <c r="F70" s="109">
        <f>D70/E70</f>
        <v/>
      </c>
      <c r="G70" s="98">
        <f>F34</f>
        <v/>
      </c>
      <c r="H70" s="99">
        <f>ROUND(D70*G70,0)</f>
        <v/>
      </c>
      <c r="I70" s="99">
        <f>ROUND(G34*F70*G70,0)</f>
        <v/>
      </c>
      <c r="J70" s="99">
        <f>ROUND(H34*F70,0)</f>
        <v/>
      </c>
      <c r="K70" s="99">
        <f>ROUND(I34*F70,0)</f>
        <v/>
      </c>
      <c r="L70" s="100">
        <f>H70+I70+J70+K70</f>
        <v/>
      </c>
    </row>
    <row r="71">
      <c r="A71" s="116" t="inlineStr">
        <is>
          <t>CPO694</t>
        </is>
      </c>
      <c r="B71" s="116" t="inlineStr">
        <is>
          <t>2026.05.04</t>
        </is>
      </c>
      <c r="C71" s="117" t="inlineStr">
        <is>
          <t>Christie</t>
        </is>
      </c>
      <c r="D71" s="118" t="n">
        <v>17404</v>
      </c>
      <c r="E71" s="118" t="n">
        <v>21439</v>
      </c>
      <c r="F71" s="122">
        <f>D71/E71</f>
        <v/>
      </c>
      <c r="G71" s="118">
        <f>F33</f>
        <v/>
      </c>
      <c r="H71" s="120">
        <f>ROUND(D71*G71,0)</f>
        <v/>
      </c>
      <c r="I71" s="120">
        <f>ROUND(G33*F71*G71,0)</f>
        <v/>
      </c>
      <c r="J71" s="120">
        <f>ROUND(H33*F71,0)</f>
        <v/>
      </c>
      <c r="K71" s="120">
        <f>ROUND(I33*F71,0)</f>
        <v/>
      </c>
      <c r="L71" s="121">
        <f>H71+I71+J71+K71</f>
        <v/>
      </c>
    </row>
    <row r="72">
      <c r="A72" s="116" t="inlineStr">
        <is>
          <t>CPO695-1</t>
        </is>
      </c>
      <c r="B72" s="116" t="inlineStr">
        <is>
          <t>2026.05.04</t>
        </is>
      </c>
      <c r="C72" s="117" t="inlineStr">
        <is>
          <t>Christie</t>
        </is>
      </c>
      <c r="D72" s="118" t="n">
        <v>2058</v>
      </c>
      <c r="E72" s="118" t="n">
        <v>21439</v>
      </c>
      <c r="F72" s="122">
        <f>D72/E72</f>
        <v/>
      </c>
      <c r="G72" s="118">
        <f>F33</f>
        <v/>
      </c>
      <c r="H72" s="120">
        <f>ROUND(D72*G72,0)</f>
        <v/>
      </c>
      <c r="I72" s="120">
        <f>ROUND(G33*F72*G72,0)</f>
        <v/>
      </c>
      <c r="J72" s="120">
        <f>ROUND(H33*F72,0)</f>
        <v/>
      </c>
      <c r="K72" s="120">
        <f>ROUND(I33*F72,0)</f>
        <v/>
      </c>
      <c r="L72" s="121">
        <f>H72+I72+J72+K72</f>
        <v/>
      </c>
    </row>
    <row r="73">
      <c r="A73" s="116" t="inlineStr">
        <is>
          <t>CPO695-2</t>
        </is>
      </c>
      <c r="B73" s="116" t="inlineStr">
        <is>
          <t>2026.05.04</t>
        </is>
      </c>
      <c r="C73" s="117" t="inlineStr">
        <is>
          <t>Christie</t>
        </is>
      </c>
      <c r="D73" s="118" t="n">
        <v>1977</v>
      </c>
      <c r="E73" s="118" t="n">
        <v>21439</v>
      </c>
      <c r="F73" s="122">
        <f>D73/E73</f>
        <v/>
      </c>
      <c r="G73" s="118">
        <f>F33</f>
        <v/>
      </c>
      <c r="H73" s="120">
        <f>ROUND(D73*G73,0)</f>
        <v/>
      </c>
      <c r="I73" s="120">
        <f>ROUND(G33*F73*G73,0)</f>
        <v/>
      </c>
      <c r="J73" s="120">
        <f>ROUND(H33*F73,0)</f>
        <v/>
      </c>
      <c r="K73" s="120">
        <f>ROUND(I33*F73,0)</f>
        <v/>
      </c>
      <c r="L73" s="121">
        <f>H73+I73+J73+K73</f>
        <v/>
      </c>
    </row>
    <row r="74">
      <c r="A74" s="116" t="inlineStr">
        <is>
          <t>IPO016</t>
        </is>
      </c>
      <c r="B74" s="116" t="inlineStr">
        <is>
          <t>2026.05.04</t>
        </is>
      </c>
      <c r="C74" s="117" t="inlineStr">
        <is>
          <t>Integ</t>
        </is>
      </c>
      <c r="D74" s="118" t="n">
        <v>6800</v>
      </c>
      <c r="E74" s="118" t="n">
        <v>6800</v>
      </c>
      <c r="F74" s="122">
        <f>D74/E74</f>
        <v/>
      </c>
      <c r="G74" s="118">
        <f>F34</f>
        <v/>
      </c>
      <c r="H74" s="120">
        <f>ROUND(D74*G74,0)</f>
        <v/>
      </c>
      <c r="I74" s="120">
        <f>ROUND(G34*F74*G74,0)</f>
        <v/>
      </c>
      <c r="J74" s="120">
        <f>ROUND(H34*F74,0)</f>
        <v/>
      </c>
      <c r="K74" s="120">
        <f>ROUND(I34*F74,0)</f>
        <v/>
      </c>
      <c r="L74" s="121">
        <f>H74+I74+J74+K74</f>
        <v/>
      </c>
    </row>
    <row r="75"/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미상환 L/C 현황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200" t="n">
        <v>67</v>
      </c>
      <c r="M16" s="59" t="n"/>
      <c r="N16" s="201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200" t="n">
        <v>60</v>
      </c>
      <c r="M17" s="59" t="n"/>
      <c r="N17" s="201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2026-05-19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2026-05-19T02:27:05Z</dcterms:modified>
  <cp:lastModifiedBy>원석 도</cp:lastModifiedBy>
  <cp:revision>0</cp:revision>
</cp:coreProperties>
</file>