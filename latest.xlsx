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'외화송금내역'!$A$3:$L$44</definedName>
    <definedName name="RemitTable2">'외화송금내역'!$A$47:$L$107</definedName>
    <definedName name="FxRateTable">'환율'!$A$7:$D$51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1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  <xf numFmtId="4" fontId="20" fillId="12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Q32" authorId="0" shapeId="0">
      <text>
        <t>신고환율 1,686.20 = 신고필증 14008-26-101205M 56번 (EUR 기준). USD 주간 고시환율 미적용 건이라 값으로 직접 기입</t>
      </text>
    </comment>
    <comment ref="S32" authorId="0" shapeId="0">
      <text>
        <t>관세 0원 — 한-EU FTA 협정세율(세율구분 FEU1 이가) 적용, HS 8414.59-9000 (신고필증 14008-26-101205M, 수리일 2026-07-27)</t>
      </text>
    </comment>
    <comment ref="S35" authorId="0" shapeId="0">
      <text>
        <t>ITA(정보기술협정) 관세면제
HS 8543 — 디지털시네마 서버/IMB
(정보기술협정 양허품목)</t>
      </text>
    </comment>
    <comment ref="Y36" authorId="0" shapeId="0">
      <text>
        <t>FedEx 2026-06월 인보이스 48,920원 (AWB 577262341268, 2026-05-04 GDC HK 발송) 지출결의 2026-1597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0" shapeId="0">
      <text>
        <t>관세 0원 — 수입신고필증 세율구분 'C'(WTO협정/양허세율) 적용
HS 8518 음향기기 (loudspeakers/amplifier)
원산지: 우크라이나(UA-A)</t>
      </text>
    </comment>
    <comment ref="S42" authorId="0" shapeId="0">
      <text>
        <t>관세 0원 — 수입신고필증 세율구분 'C'(WTO협정/양허세율) 적용
HS 8518 음향기기 (loudspeakers/amplifier)
원산지: 우크라이나(UA-A)</t>
      </text>
    </comment>
    <comment ref="S43" authorId="0" shapeId="0">
      <text>
        <t>관세 0원 — 수입신고필증 세율구분 'C'(가가, WTO/ITA 양허) 적용
HS 8529.90-6010 프로젝터 부품 (레이저광원모듈)
원산지: 중국(CN-A)
(신고번호 14008-26-101317M, 수리일 2026-06-29)</t>
      </text>
    </comment>
    <comment ref="S44" authorId="0" shapeId="0">
      <text>
        <t>ITA(정보기술협정) 관세면제 HS 8517.62-9020 / 8471.80-9000 — 시네마 오디오프로세서 및 HDMI 모듈 (신고필증 세율구분 C 가가)</t>
      </text>
    </comment>
    <comment ref="T44" authorId="0" shapeId="0">
      <text>
        <t>수입신고 23176-26-472403M 결제금액 USD 15,870 (인보이스 GDC-INV-2606-005 USD 14,730 + HDMI Module 3EA USD 1,140). 납부고지서(2026-07-10 재발행) 기준 가산세(보정이자) 79,130원 별도 부과, 취득원가 제외</t>
      </text>
    </comment>
    <comment ref="H45" authorId="0" shapeId="0">
      <text>
        <t>수입신고 23176-26-606930M 결제금액 USD 5,499 중 ASSY FAN 2EA 귀속분. 관세/부가세는 USD 비율 안분 (CPO701 54 : CPO703 5,445)</t>
      </text>
    </comment>
    <comment ref="H46" authorId="0" shapeId="0">
      <text>
        <t>수입신고 23176-26-606930M 결제금액 USD 5,499 중 Lens 1EA 귀속분. 관세/부가세는 USD 비율 안분 (CPO701 54 : CPO703 5,445)</t>
      </text>
    </comment>
    <comment ref="S48" authorId="0" shapeId="0">
      <text>
        <t>ITA(정보기술협정) 관세면제 HS 8529.90-6029 — 디지털시네마 서버 부품 (신고필증 세율구분 C 가가)</t>
      </text>
    </comment>
    <comment ref="H49" authorId="0" shapeId="0">
      <text>
        <t>수입신고 총 결제금액 USD 335,110 중 지출결의 2026-1667 물량내역 기준 GPO482 귀속분. 물량내역 미기재 2개 란(Advertising Board USD 200, Coaxial Cable USD 126)은 GPO482에 합산 (총액 일치 목적)</t>
      </text>
    </comment>
    <comment ref="S49" authorId="0" shapeId="0">
      <text>
        <t>관세 0원 — 신고필증 14008-26-101364M 세율구분 C(가가, WTO/ITA 양허) 및 FCN1(한중 FTA 협정세율) 적용</t>
      </text>
    </comment>
    <comment ref="S50" authorId="0" shapeId="0">
      <text>
        <t>관세 0원 — 신고필증 14008-26-101364M 세율구분 FCN1(한중 FTA 협정세율) 적용, HS 9004.90-2000</t>
      </text>
    </comment>
    <comment ref="H78" authorId="0" shapeId="0">
      <text>
        <t>GDC-INV-2606-025 : gross USD 33,309 차감 구형서버 보상판매 Credit GDC-CN-2604-001 USD 28,000 = 실지급 USD 5,309</t>
      </text>
    </comment>
    <comment ref="H79" authorId="1" shapeId="0">
      <text>
        <t>CPO700+CPO702 합송금 USD 33,829 (2026-08-07) 중 CPO702 인보이스 32,715 차감 잔여분 = USD 1,114.
Christie 인보이스 미수취. Christie AR 메일(2026-07-31, Eric Shim): CPO700/CPO702 모두 Extended Warranty 건.
인보이스 수취 시 품명/계약기간 보완 필요</t>
      </text>
    </comment>
    <comment ref="S82" authorId="0" shapeId="0">
      <text>
        <t>관세율 0.00% - 세율구분 C(가가, WTO/ITA 양허)
수리반환 재수입 건, 부가세만 과세
(신고필증 2235626351613M)</t>
      </text>
    </comment>
    <comment ref="Y82" authorId="0" shapeId="0">
      <text>
        <t>DHL 2026-05월 인보이스 (AWB 5094871784 = 수입신고필증 B/L 일치)
GDC RMA 수리반환 건, 지출결의 2026-1344, 6/9 집행</t>
      </text>
    </comment>
    <comment ref="Y83" authorId="0" shapeId="0">
      <text>
        <t>진로직스 운임 정정 추가정산금 230,890원 반영 (정정 전 4,827,602 → 정정 후 5,058,492, HFIKUO26401C, 입항지 부산 변경분) 지출결의 2026-1536</t>
      </text>
    </comment>
    <comment ref="H84" authorId="1" shapeId="0">
      <text>
        <t>Figueras PI 44133 (2026-05-05) 총 EUR 22,080 = RIVA 4031 리클라이너 16EA (Monoplex DH Bangbae).
지급: 20% EUR 4,416 (2026-05-12) + 60% EUR 13,248 (2026-07-14) = EUR 17,664 기지급.
잔금 20% EUR 4,416 미지급 (완공 또는 납품 후 30일 조건). J/K열은 기지급분 원화 합계.
H열은 EUR 금액 (USD 아님)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102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2026-08-14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부가세(KRW,참고)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175" t="inlineStr">
        <is>
          <t>-</t>
        </is>
      </c>
      <c r="AF5" s="17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n">
        <v>46017</v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175" t="inlineStr">
        <is>
          <t>-</t>
        </is>
      </c>
      <c r="AF6" s="17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n">
        <v>46011</v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175" t="inlineStr">
        <is>
          <t>-</t>
        </is>
      </c>
      <c r="AF7" s="17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n">
        <v>46004</v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175" t="inlineStr">
        <is>
          <t>-</t>
        </is>
      </c>
      <c r="AF8" s="17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77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76" t="n"/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77" t="inlineStr">
        <is>
          <t>-</t>
        </is>
      </c>
      <c r="AF9" s="176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n">
        <v>46017</v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175" t="inlineStr">
        <is>
          <t>-</t>
        </is>
      </c>
      <c r="AF10" s="17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n">
        <v>46038</v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175" t="inlineStr">
        <is>
          <t>-</t>
        </is>
      </c>
      <c r="AF11" s="17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n">
        <v>46105</v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175" t="inlineStr">
        <is>
          <t>-</t>
        </is>
      </c>
      <c r="AF12" s="17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n">
        <v>46042</v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175" t="inlineStr">
        <is>
          <t>-</t>
        </is>
      </c>
      <c r="AF13" s="17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n">
        <v>46030</v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175" t="inlineStr">
        <is>
          <t>-</t>
        </is>
      </c>
      <c r="AF14" s="17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n">
        <v>46030</v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175" t="inlineStr">
        <is>
          <t>-</t>
        </is>
      </c>
      <c r="AF15" s="17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n">
        <v>46087</v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175" t="inlineStr">
        <is>
          <t>-</t>
        </is>
      </c>
      <c r="AF16" s="17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n">
        <v>46087</v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175" t="inlineStr">
        <is>
          <t>-</t>
        </is>
      </c>
      <c r="AF17" s="17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n">
        <v>46057</v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175" t="inlineStr">
        <is>
          <t>-</t>
        </is>
      </c>
      <c r="AF18" s="17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n">
        <v>46071</v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175" t="inlineStr">
        <is>
          <t>-</t>
        </is>
      </c>
      <c r="AF19" s="17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n">
        <v>46079</v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175" t="inlineStr">
        <is>
          <t>-</t>
        </is>
      </c>
      <c r="AF20" s="17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n">
        <v>46088</v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175" t="inlineStr">
        <is>
          <t>-</t>
        </is>
      </c>
      <c r="AF21" s="17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n">
        <v>46067</v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175" t="inlineStr">
        <is>
          <t>-</t>
        </is>
      </c>
      <c r="AF22" s="17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77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76" t="n"/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77" t="inlineStr">
        <is>
          <t>-</t>
        </is>
      </c>
      <c r="AF23" s="176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n">
        <v>46110</v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175" t="inlineStr">
        <is>
          <t>-</t>
        </is>
      </c>
      <c r="AF24" s="17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n">
        <v>46110</v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175" t="inlineStr">
        <is>
          <t>-</t>
        </is>
      </c>
      <c r="AF25" s="17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n">
        <v>46119</v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175" t="inlineStr">
        <is>
          <t>-</t>
        </is>
      </c>
      <c r="AF26" s="17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n">
        <v>46120</v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175" t="inlineStr">
        <is>
          <t>-</t>
        </is>
      </c>
      <c r="AF27" s="17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n">
        <v>46119</v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175" t="inlineStr">
        <is>
          <t>-</t>
        </is>
      </c>
      <c r="AF28" s="17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175" t="n"/>
      <c r="AF29" s="17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179" t="n"/>
      <c r="AF30" s="179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179" t="n"/>
      <c r="AF31" s="179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>
        <v>46230</v>
      </c>
      <c r="P32" s="78" t="inlineStr">
        <is>
          <t>14008-26-101205M</t>
        </is>
      </c>
      <c r="Q32" s="80" t="n">
        <v>1686.2</v>
      </c>
      <c r="R32" s="80">
        <f>IF(P32="","",H32)</f>
        <v/>
      </c>
      <c r="S32" s="82" t="n">
        <v>0</v>
      </c>
      <c r="T32" s="82" t="n">
        <v>814230</v>
      </c>
      <c r="U32" s="179" t="n"/>
      <c r="V32" s="78" t="inlineStr">
        <is>
          <t>조운관세사무소</t>
        </is>
      </c>
      <c r="W32" s="82" t="n">
        <v>0</v>
      </c>
      <c r="X32" s="78" t="inlineStr">
        <is>
          <t>진로직스</t>
        </is>
      </c>
      <c r="Y32" s="82" t="n">
        <v>0</v>
      </c>
      <c r="Z32" s="82">
        <f>S32+W32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inlineStr">
        <is>
          <t>2026-07</t>
        </is>
      </c>
      <c r="AE32" s="179" t="n"/>
      <c r="AF32" s="179" t="n"/>
    </row>
    <row r="33" ht="15.75" customHeight="1">
      <c r="A33" s="124" t="n">
        <v>29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81" t="n">
        <v>46190</v>
      </c>
      <c r="H33" s="126" t="n">
        <v>351274</v>
      </c>
      <c r="I33" s="310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1" t="n">
        <v>46141</v>
      </c>
      <c r="P33" s="124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81" t="n"/>
      <c r="V33" s="124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4" t="inlineStr">
        <is>
          <t>2026-04</t>
        </is>
      </c>
      <c r="AE33" s="182" t="n"/>
      <c r="AF33" s="182" t="n"/>
    </row>
    <row r="34" ht="15.75" customHeight="1">
      <c r="A34" s="124" t="n">
        <v>30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81" t="inlineStr">
        <is>
          <t>-</t>
        </is>
      </c>
      <c r="H34" s="126" t="n">
        <v>807233</v>
      </c>
      <c r="I34" s="310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1" t="n">
        <v>46157</v>
      </c>
      <c r="P34" s="124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81" t="n"/>
      <c r="V34" s="124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4" t="inlineStr">
        <is>
          <t>2026-05</t>
        </is>
      </c>
      <c r="AE34" s="182" t="n"/>
      <c r="AF34" s="182" t="n"/>
    </row>
    <row r="35" ht="15.75" customHeight="1">
      <c r="A35" s="124" t="n">
        <v>31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310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1" t="n">
        <v>46146</v>
      </c>
      <c r="P35" s="124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81" t="n"/>
      <c r="V35" s="124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4" t="inlineStr">
        <is>
          <t>2026-05</t>
        </is>
      </c>
      <c r="AE35" s="182" t="n"/>
      <c r="AF35" s="182" t="n"/>
    </row>
    <row r="36" ht="15.75" customHeight="1">
      <c r="A36" s="124" t="n">
        <v>32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310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1" t="n"/>
      <c r="V36" s="129" t="n"/>
      <c r="W36" s="128" t="n">
        <v>0</v>
      </c>
      <c r="X36" s="124" t="inlineStr">
        <is>
          <t>FedEx</t>
        </is>
      </c>
      <c r="Y36" s="128" t="n">
        <v>48920</v>
      </c>
      <c r="Z36" s="128">
        <f>S36+W36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207" t="n">
        <v>33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10" t="n"/>
      <c r="AF37" s="209" t="n"/>
    </row>
    <row r="38" ht="15.75" customHeight="1">
      <c r="A38" s="207" t="n">
        <v>34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10" t="n"/>
      <c r="AF38" s="209" t="n"/>
    </row>
    <row r="39" ht="15.75" customHeight="1">
      <c r="A39" s="124" t="n">
        <v>35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310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4" t="inlineStr">
        <is>
          <t>JNIOR Model 410 (IPO017, FedEx 4/21 발송분)</t>
        </is>
      </c>
      <c r="O39" s="182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81" t="n"/>
      <c r="V39" s="124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81" t="inlineStr">
        <is>
          <t>-</t>
        </is>
      </c>
      <c r="AF39" s="181" t="inlineStr">
        <is>
          <t>-</t>
        </is>
      </c>
    </row>
    <row r="40" ht="15.75" customHeight="1">
      <c r="A40" s="124" t="n">
        <v>36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181" t="inlineStr">
        <is>
          <t>-</t>
        </is>
      </c>
      <c r="H40" s="126" t="n">
        <v>346792</v>
      </c>
      <c r="I40" s="310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4" t="inlineStr">
        <is>
          <t>CP4420-RGB 4K Projector 8대 + TPC Touch 8 (롯데 렌탈 4차)</t>
        </is>
      </c>
      <c r="O40" s="181" t="n">
        <v>46177</v>
      </c>
      <c r="P40" s="124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81" t="n"/>
      <c r="V40" s="124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4" t="inlineStr">
        <is>
          <t>2026-06</t>
        </is>
      </c>
      <c r="AE40" s="182" t="n"/>
      <c r="AF40" s="182" t="n"/>
    </row>
    <row r="41" ht="15.75" customHeight="1">
      <c r="A41" s="124" t="n">
        <v>37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49138.8</v>
      </c>
      <c r="I41" s="310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4" t="inlineStr">
        <is>
          <t>MAG 음향장비 loudspeakers 108EA (롯데컬처웍스)</t>
        </is>
      </c>
      <c r="O41" s="181" t="n">
        <v>46188</v>
      </c>
      <c r="P41" s="124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81" t="n"/>
      <c r="V41" s="124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4" t="inlineStr">
        <is>
          <t>2026-06</t>
        </is>
      </c>
      <c r="AE41" s="182" t="n"/>
      <c r="AF41" s="182" t="n"/>
    </row>
    <row r="42" ht="15.75" customHeight="1">
      <c r="A42" s="124" t="n">
        <v>38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181" t="n">
        <v>46190</v>
      </c>
      <c r="H42" s="126" t="n">
        <v>11587.2</v>
      </c>
      <c r="I42" s="310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4" t="inlineStr">
        <is>
          <t>MAG 음향장비 loudspeakers 29EA (CJ 미래원)</t>
        </is>
      </c>
      <c r="O42" s="181" t="n">
        <v>46188</v>
      </c>
      <c r="P42" s="124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81" t="n"/>
      <c r="V42" s="124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4" t="inlineStr">
        <is>
          <t>2026-06</t>
        </is>
      </c>
      <c r="AE42" s="182" t="n"/>
      <c r="AF42" s="182" t="n"/>
    </row>
    <row r="43" ht="15.75" customHeight="1">
      <c r="A43" s="124" t="n">
        <v>39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310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4" t="inlineStr">
        <is>
          <t>S20-C2220-BEAB 레이저모듈 2set (CP2220)</t>
        </is>
      </c>
      <c r="O43" s="181" t="n">
        <v>46202</v>
      </c>
      <c r="P43" s="124" t="inlineStr">
        <is>
          <t>14008-26-101317M</t>
        </is>
      </c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1" t="n">
        <v>46202</v>
      </c>
      <c r="V43" s="124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4" t="inlineStr">
        <is>
          <t>2026-06</t>
        </is>
      </c>
      <c r="AE43" s="182" t="n"/>
      <c r="AF43" s="182" t="n"/>
    </row>
    <row r="44" ht="15.75" customHeight="1">
      <c r="A44" s="124" t="n">
        <v>40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310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4" t="inlineStr">
        <is>
          <t>AIB-3000 Cinema Audio Processor 9EA (롯데 인천검단 6 / CJ미래원 1 / RNR 2)</t>
        </is>
      </c>
      <c r="O44" s="182" t="n">
        <v>46188</v>
      </c>
      <c r="P44" s="129" t="inlineStr">
        <is>
          <t>23176-26-472403M</t>
        </is>
      </c>
      <c r="Q44" s="126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2457950</v>
      </c>
      <c r="U44" s="181" t="n"/>
      <c r="V44" s="124" t="inlineStr">
        <is>
          <t>스타합동관세사무소</t>
        </is>
      </c>
      <c r="W44" s="128" t="n">
        <v>0</v>
      </c>
      <c r="X44" s="124" t="inlineStr">
        <is>
          <t>Fedex</t>
        </is>
      </c>
      <c r="Y44" s="128" t="n">
        <v>0</v>
      </c>
      <c r="Z44" s="128">
        <f>S44+W44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inlineStr">
        <is>
          <t>2026-06</t>
        </is>
      </c>
      <c r="AE44" s="182" t="n"/>
      <c r="AF44" s="182" t="n"/>
    </row>
    <row r="45" ht="15.75" customHeight="1">
      <c r="A45" s="124" t="n">
        <v>41</v>
      </c>
      <c r="B45" s="124" t="inlineStr">
        <is>
          <t>CPO701</t>
        </is>
      </c>
      <c r="C45" s="124" t="inlineStr">
        <is>
          <t>Christie</t>
        </is>
      </c>
      <c r="D45" s="124" t="inlineStr">
        <is>
          <t>Net 45 days</t>
        </is>
      </c>
      <c r="E45" s="124" t="inlineStr">
        <is>
          <t>부품(Fan)</t>
        </is>
      </c>
      <c r="F45" s="181" t="inlineStr">
        <is>
          <t>-</t>
        </is>
      </c>
      <c r="G45" s="181" t="inlineStr">
        <is>
          <t>-</t>
        </is>
      </c>
      <c r="H45" s="126" t="n">
        <v>54</v>
      </c>
      <c r="I45" s="310">
        <f>IFERROR(VLOOKUP(B45,RemitTable2,7,FALSE),0)</f>
        <v/>
      </c>
      <c r="J45" s="128" t="n">
        <v>0</v>
      </c>
      <c r="K45" s="128">
        <f>IFERROR(ROUND(H45*I45,0),0)</f>
        <v/>
      </c>
      <c r="L45" s="128">
        <f>IFERROR(VLOOKUP(B45,RemitTable2,10,FALSE),0)</f>
        <v/>
      </c>
      <c r="M45" s="128">
        <f>IFERROR(VLOOKUP(B45,RemitTable2,11,FALSE),0)</f>
        <v/>
      </c>
      <c r="N45" s="124" t="inlineStr">
        <is>
          <t>ASSY FAN 12V 0.6A 4-Wire 92MM (2EA)</t>
        </is>
      </c>
      <c r="O45" s="182" t="n">
        <v>46216</v>
      </c>
      <c r="P45" s="129" t="inlineStr">
        <is>
          <t>23176-26-606930M</t>
        </is>
      </c>
      <c r="Q45" s="126">
        <f>IF(P45="","",IFERROR(VLOOKUP(O45,FxRateTable,4,TRUE),""))</f>
        <v/>
      </c>
      <c r="R45" s="126">
        <f>IF(P45="","",H45)</f>
        <v/>
      </c>
      <c r="S45" s="128" t="n">
        <v>6631</v>
      </c>
      <c r="T45" s="128" t="n">
        <v>8952</v>
      </c>
      <c r="U45" s="181" t="n"/>
      <c r="V45" s="124" t="inlineStr">
        <is>
          <t>스타합동관세사무소</t>
        </is>
      </c>
      <c r="W45" s="128" t="n">
        <v>0</v>
      </c>
      <c r="X45" s="124" t="inlineStr">
        <is>
          <t>Fedex</t>
        </is>
      </c>
      <c r="Y45" s="128" t="n">
        <v>0</v>
      </c>
      <c r="Z45" s="128">
        <f>S45+W45</f>
        <v/>
      </c>
      <c r="AA45" s="131">
        <f>K45+L45+M45+IFERROR(VLOOKUP(B45,RemitTable2,9,FALSE),0)+Y45+Z45</f>
        <v/>
      </c>
      <c r="AB45" s="167" t="n">
        <v>2</v>
      </c>
      <c r="AC45" s="131">
        <f>ROUND(AA45/AB45,0)</f>
        <v/>
      </c>
      <c r="AD45" s="129" t="inlineStr">
        <is>
          <t>2026-07</t>
        </is>
      </c>
      <c r="AE45" s="182" t="inlineStr">
        <is>
          <t>-</t>
        </is>
      </c>
      <c r="AF45" s="182" t="inlineStr">
        <is>
          <t>-</t>
        </is>
      </c>
    </row>
    <row r="46" ht="15.75" customHeight="1">
      <c r="A46" s="124" t="n">
        <v>42</v>
      </c>
      <c r="B46" s="124" t="inlineStr">
        <is>
          <t>CPO703</t>
        </is>
      </c>
      <c r="C46" s="124" t="inlineStr">
        <is>
          <t>Christie</t>
        </is>
      </c>
      <c r="D46" s="124" t="inlineStr">
        <is>
          <t>Net 45 days</t>
        </is>
      </c>
      <c r="E46" s="124" t="inlineStr">
        <is>
          <t>부품(렌즈)</t>
        </is>
      </c>
      <c r="F46" s="181" t="inlineStr">
        <is>
          <t>-</t>
        </is>
      </c>
      <c r="G46" s="181" t="inlineStr">
        <is>
          <t>-</t>
        </is>
      </c>
      <c r="H46" s="126" t="n">
        <v>5445</v>
      </c>
      <c r="I46" s="310">
        <f>IFERROR(VLOOKUP(B46,RemitTable2,7,FALSE),0)</f>
        <v/>
      </c>
      <c r="J46" s="128" t="n">
        <v>0</v>
      </c>
      <c r="K46" s="128">
        <f>IFERROR(ROUND(H46*I46,0),0)</f>
        <v/>
      </c>
      <c r="L46" s="128">
        <f>IFERROR(VLOOKUP(B46,RemitTable2,10,FALSE),0)</f>
        <v/>
      </c>
      <c r="M46" s="128">
        <f>IFERROR(VLOOKUP(B46,RemitTable2,11,FALSE),0)</f>
        <v/>
      </c>
      <c r="N46" s="124" t="inlineStr">
        <is>
          <t>Lens 0.83-1.21 .69" DLPCine Zoom MT (1EA)</t>
        </is>
      </c>
      <c r="O46" s="182" t="n">
        <v>46216</v>
      </c>
      <c r="P46" s="129" t="inlineStr">
        <is>
          <t>23176-26-606930M</t>
        </is>
      </c>
      <c r="Q46" s="126">
        <f>IF(P46="","",IFERROR(VLOOKUP(O46,FxRateTable,4,TRUE),""))</f>
        <v/>
      </c>
      <c r="R46" s="126">
        <f>IF(P46="","",H46)</f>
        <v/>
      </c>
      <c r="S46" s="128" t="n">
        <v>668679</v>
      </c>
      <c r="T46" s="128" t="n">
        <v>902728</v>
      </c>
      <c r="U46" s="181" t="n"/>
      <c r="V46" s="124" t="inlineStr">
        <is>
          <t>스타합동관세사무소</t>
        </is>
      </c>
      <c r="W46" s="128" t="n">
        <v>0</v>
      </c>
      <c r="X46" s="124" t="inlineStr">
        <is>
          <t>Fedex</t>
        </is>
      </c>
      <c r="Y46" s="128" t="n">
        <v>0</v>
      </c>
      <c r="Z46" s="128">
        <f>S46+W46</f>
        <v/>
      </c>
      <c r="AA46" s="131">
        <f>K46+L46+M46+IFERROR(VLOOKUP(B46,RemitTable2,9,FALSE),0)+Y46+Z46</f>
        <v/>
      </c>
      <c r="AB46" s="167" t="n">
        <v>1</v>
      </c>
      <c r="AC46" s="131">
        <f>ROUND(AA46/AB46,0)</f>
        <v/>
      </c>
      <c r="AD46" s="129" t="inlineStr">
        <is>
          <t>2026-07</t>
        </is>
      </c>
      <c r="AE46" s="182" t="inlineStr">
        <is>
          <t>-</t>
        </is>
      </c>
      <c r="AF46" s="182" t="inlineStr">
        <is>
          <t>-</t>
        </is>
      </c>
    </row>
    <row r="47" ht="15.75" customHeight="1">
      <c r="A47" s="124" t="n">
        <v>43</v>
      </c>
      <c r="B47" s="124" t="inlineStr">
        <is>
          <t>GPO488</t>
        </is>
      </c>
      <c r="C47" s="124" t="inlineStr">
        <is>
          <t>GDC</t>
        </is>
      </c>
      <c r="D47" s="124" t="inlineStr">
        <is>
          <t>Net 30 days</t>
        </is>
      </c>
      <c r="E47" s="124" t="inlineStr">
        <is>
          <t>부품(Fan)</t>
        </is>
      </c>
      <c r="F47" s="181" t="inlineStr">
        <is>
          <t>-</t>
        </is>
      </c>
      <c r="G47" s="181" t="n">
        <v>46238</v>
      </c>
      <c r="H47" s="126" t="n">
        <v>180</v>
      </c>
      <c r="I47" s="310" t="n">
        <v>1432.9</v>
      </c>
      <c r="J47" s="128" t="n">
        <v>257922</v>
      </c>
      <c r="K47" s="128" t="n">
        <v>257922</v>
      </c>
      <c r="L47" s="128" t="n">
        <v>2500</v>
      </c>
      <c r="M47" s="128" t="n">
        <v>8000</v>
      </c>
      <c r="N47" s="124" t="inlineStr">
        <is>
          <t>PSD-3000-U2 Rear Ventilation Fan (20EA)</t>
        </is>
      </c>
      <c r="O47" s="182" t="n">
        <v>46216</v>
      </c>
      <c r="P47" s="129" t="inlineStr">
        <is>
          <t>23176-26-605075M</t>
        </is>
      </c>
      <c r="Q47" s="126">
        <f>IF(P47="","",IFERROR(VLOOKUP(O47,FxRateTable,4,TRUE),""))</f>
        <v/>
      </c>
      <c r="R47" s="126">
        <f>IF(P47="","",H47)</f>
        <v/>
      </c>
      <c r="S47" s="128" t="n">
        <v>24140</v>
      </c>
      <c r="T47" s="128" t="n">
        <v>32590</v>
      </c>
      <c r="U47" s="181" t="n"/>
      <c r="V47" s="124" t="inlineStr">
        <is>
          <t>스타합동관세사무소</t>
        </is>
      </c>
      <c r="W47" s="128" t="n">
        <v>0</v>
      </c>
      <c r="X47" s="124" t="inlineStr">
        <is>
          <t>Fedex</t>
        </is>
      </c>
      <c r="Y47" s="128" t="n">
        <v>0</v>
      </c>
      <c r="Z47" s="128">
        <f>S47+W47</f>
        <v/>
      </c>
      <c r="AA47" s="131">
        <f>K47+L47+M47+IFERROR(VLOOKUP(B47,RemitTable2,9,FALSE),0)+Y47+Z47</f>
        <v/>
      </c>
      <c r="AB47" s="167" t="n">
        <v>20</v>
      </c>
      <c r="AC47" s="131">
        <f>ROUND(AA47/AB47,0)</f>
        <v/>
      </c>
      <c r="AD47" s="129" t="inlineStr">
        <is>
          <t>2026-07</t>
        </is>
      </c>
      <c r="AE47" s="182" t="inlineStr">
        <is>
          <t>-</t>
        </is>
      </c>
      <c r="AF47" s="182" t="inlineStr">
        <is>
          <t>-</t>
        </is>
      </c>
    </row>
    <row r="48" ht="15.75" customHeight="1">
      <c r="A48" s="124" t="n">
        <v>44</v>
      </c>
      <c r="B48" s="124" t="inlineStr">
        <is>
          <t>GPO493</t>
        </is>
      </c>
      <c r="C48" s="124" t="inlineStr">
        <is>
          <t>GDC</t>
        </is>
      </c>
      <c r="D48" s="124" t="inlineStr">
        <is>
          <t>Net 30 days</t>
        </is>
      </c>
      <c r="E48" s="124" t="inlineStr">
        <is>
          <t>부품</t>
        </is>
      </c>
      <c r="F48" s="181" t="inlineStr">
        <is>
          <t>-</t>
        </is>
      </c>
      <c r="G48" s="181" t="n">
        <v>46245</v>
      </c>
      <c r="H48" s="126" t="n">
        <v>4470</v>
      </c>
      <c r="I48" s="310" t="n">
        <v>1419.3</v>
      </c>
      <c r="J48" s="128" t="n">
        <v>6344271</v>
      </c>
      <c r="K48" s="128" t="n">
        <v>6344271</v>
      </c>
      <c r="L48" s="128" t="n">
        <v>7500</v>
      </c>
      <c r="M48" s="128" t="n">
        <v>8000</v>
      </c>
      <c r="N48" s="124" t="inlineStr">
        <is>
          <t>SR-1000 Christie S2/S3 Faceplate (37EA) + Security Gate (45EA)</t>
        </is>
      </c>
      <c r="O48" s="182" t="n">
        <v>46218</v>
      </c>
      <c r="P48" s="129" t="inlineStr">
        <is>
          <t>23176-26-618473M</t>
        </is>
      </c>
      <c r="Q48" s="126">
        <f>IF(P48="","",IFERROR(VLOOKUP(O48,FxRateTable,4,TRUE),""))</f>
        <v/>
      </c>
      <c r="R48" s="126">
        <f>IF(P48="","",H48)</f>
        <v/>
      </c>
      <c r="S48" s="128" t="n">
        <v>0</v>
      </c>
      <c r="T48" s="128" t="n">
        <v>692710</v>
      </c>
      <c r="U48" s="181" t="n"/>
      <c r="V48" s="124" t="inlineStr">
        <is>
          <t>스타합동관세사무소</t>
        </is>
      </c>
      <c r="W48" s="128" t="n">
        <v>0</v>
      </c>
      <c r="X48" s="124" t="inlineStr">
        <is>
          <t>Fedex</t>
        </is>
      </c>
      <c r="Y48" s="128" t="n">
        <v>0</v>
      </c>
      <c r="Z48" s="128">
        <f>S48+W48</f>
        <v/>
      </c>
      <c r="AA48" s="131">
        <f>K48+L48+M48+IFERROR(VLOOKUP(B48,RemitTable2,9,FALSE),0)+Y48+Z48</f>
        <v/>
      </c>
      <c r="AB48" s="167" t="n">
        <v>82</v>
      </c>
      <c r="AC48" s="131">
        <f>ROUND(AA48/AB48,0)</f>
        <v/>
      </c>
      <c r="AD48" s="129" t="inlineStr">
        <is>
          <t>2026-07</t>
        </is>
      </c>
      <c r="AE48" s="182" t="inlineStr">
        <is>
          <t>-</t>
        </is>
      </c>
      <c r="AF48" s="182" t="inlineStr">
        <is>
          <t>-</t>
        </is>
      </c>
    </row>
    <row r="49" ht="15.75" customHeight="1">
      <c r="A49" s="124" t="n">
        <v>45</v>
      </c>
      <c r="B49" s="124" t="inlineStr">
        <is>
          <t>GPO482</t>
        </is>
      </c>
      <c r="C49" s="124" t="inlineStr">
        <is>
          <t>GDC (Espedeo)</t>
        </is>
      </c>
      <c r="D49" s="124" t="inlineStr">
        <is>
          <t>Net 30 days</t>
        </is>
      </c>
      <c r="E49" s="124" t="inlineStr">
        <is>
          <t>장비</t>
        </is>
      </c>
      <c r="F49" s="181" t="inlineStr">
        <is>
          <t>-</t>
        </is>
      </c>
      <c r="G49" s="181" t="inlineStr">
        <is>
          <t>-</t>
        </is>
      </c>
      <c r="H49" s="126" t="n">
        <v>329510</v>
      </c>
      <c r="I49" s="310">
        <f>IFERROR(VLOOKUP(B49,RemitTable2,7,FALSE),0)</f>
        <v/>
      </c>
      <c r="J49" s="128" t="n">
        <v>0</v>
      </c>
      <c r="K49" s="128">
        <f>IFERROR(ROUND(H49*I49,0),0)</f>
        <v/>
      </c>
      <c r="L49" s="128">
        <f>IFERROR(VLOOKUP(B49,RemitTable2,10,FALSE),0)</f>
        <v/>
      </c>
      <c r="M49" s="128">
        <f>IFERROR(VLOOKUP(B49,RemitTable2,11,FALSE),0)</f>
        <v/>
      </c>
      <c r="N49" s="124" t="inlineStr">
        <is>
          <t>Tricorne Premium Cinema LED 1SET + Enterprise Storage 8TB (3EA) + Synchronization kit 1SET</t>
        </is>
      </c>
      <c r="O49" s="182" t="n">
        <v>46224</v>
      </c>
      <c r="P49" s="129" t="inlineStr">
        <is>
          <t>14008-26-101364M</t>
        </is>
      </c>
      <c r="Q49" s="126">
        <f>IF(P49="","",IFERROR(VLOOKUP(O49,FxRateTable,4,TRUE),""))</f>
        <v/>
      </c>
      <c r="R49" s="126">
        <f>IF(P49="","",H49)</f>
        <v/>
      </c>
      <c r="S49" s="128" t="n">
        <v>0</v>
      </c>
      <c r="T49" s="128" t="n">
        <v>49543390</v>
      </c>
      <c r="U49" s="181" t="n"/>
      <c r="V49" s="124" t="inlineStr">
        <is>
          <t>조운관세사무소</t>
        </is>
      </c>
      <c r="W49" s="128" t="n">
        <v>0</v>
      </c>
      <c r="X49" s="124" t="inlineStr">
        <is>
          <t>훼밀리익스프레스</t>
        </is>
      </c>
      <c r="Y49" s="128" t="n">
        <v>0</v>
      </c>
      <c r="Z49" s="128">
        <f>S49+W49</f>
        <v/>
      </c>
      <c r="AA49" s="131">
        <f>K49+L49+M49+IFERROR(VLOOKUP(B49,RemitTable2,9,FALSE),0)+Y49+Z49</f>
        <v/>
      </c>
      <c r="AB49" s="167" t="n">
        <v>1</v>
      </c>
      <c r="AC49" s="131">
        <f>ROUND(AA49/AB49,0)</f>
        <v/>
      </c>
      <c r="AD49" s="129" t="inlineStr">
        <is>
          <t>2026-07</t>
        </is>
      </c>
      <c r="AE49" s="182" t="inlineStr">
        <is>
          <t>-</t>
        </is>
      </c>
      <c r="AF49" s="182" t="inlineStr">
        <is>
          <t>-</t>
        </is>
      </c>
    </row>
    <row r="50" ht="15.75" customHeight="1">
      <c r="A50" s="124" t="n">
        <v>46</v>
      </c>
      <c r="B50" s="124" t="inlineStr">
        <is>
          <t>GPO485</t>
        </is>
      </c>
      <c r="C50" s="124" t="inlineStr">
        <is>
          <t>GDC (Espedeo)</t>
        </is>
      </c>
      <c r="D50" s="124" t="inlineStr">
        <is>
          <t>Net 30 days</t>
        </is>
      </c>
      <c r="E50" s="124" t="inlineStr">
        <is>
          <t>장비</t>
        </is>
      </c>
      <c r="F50" s="181" t="inlineStr">
        <is>
          <t>-</t>
        </is>
      </c>
      <c r="G50" s="181" t="inlineStr">
        <is>
          <t>-</t>
        </is>
      </c>
      <c r="H50" s="126" t="n">
        <v>5600</v>
      </c>
      <c r="I50" s="310">
        <f>IFERROR(VLOOKUP(B50,RemitTable2,7,FALSE),0)</f>
        <v/>
      </c>
      <c r="J50" s="128" t="n">
        <v>0</v>
      </c>
      <c r="K50" s="128">
        <f>IFERROR(ROUND(H50*I50,0),0)</f>
        <v/>
      </c>
      <c r="L50" s="128">
        <f>IFERROR(VLOOKUP(B50,RemitTable2,10,FALSE),0)</f>
        <v/>
      </c>
      <c r="M50" s="128">
        <f>IFERROR(VLOOKUP(B50,RemitTable2,11,FALSE),0)</f>
        <v/>
      </c>
      <c r="N50" s="124" t="inlineStr">
        <is>
          <t>Active 3D system AL-1000T 1SET + 3D active glasses GL-110T (50EA)</t>
        </is>
      </c>
      <c r="O50" s="182" t="n">
        <v>46224</v>
      </c>
      <c r="P50" s="129" t="inlineStr">
        <is>
          <t>14008-26-101364M</t>
        </is>
      </c>
      <c r="Q50" s="126">
        <f>IF(P50="","",IFERROR(VLOOKUP(O50,FxRateTable,4,TRUE),""))</f>
        <v/>
      </c>
      <c r="R50" s="126">
        <f>IF(P50="","",H50)</f>
        <v/>
      </c>
      <c r="S50" s="128" t="n">
        <v>0</v>
      </c>
      <c r="T50" s="128" t="n">
        <v>841980</v>
      </c>
      <c r="U50" s="181" t="n"/>
      <c r="V50" s="124" t="inlineStr">
        <is>
          <t>조운관세사무소</t>
        </is>
      </c>
      <c r="W50" s="128" t="n">
        <v>0</v>
      </c>
      <c r="X50" s="124" t="inlineStr">
        <is>
          <t>훼밀리익스프레스</t>
        </is>
      </c>
      <c r="Y50" s="128" t="n">
        <v>0</v>
      </c>
      <c r="Z50" s="128">
        <f>S50+W50</f>
        <v/>
      </c>
      <c r="AA50" s="131">
        <f>K50+L50+M50+IFERROR(VLOOKUP(B50,RemitTable2,9,FALSE),0)+Y50+Z50</f>
        <v/>
      </c>
      <c r="AB50" s="167" t="n">
        <v>51</v>
      </c>
      <c r="AC50" s="131">
        <f>ROUND(AA50/AB50,0)</f>
        <v/>
      </c>
      <c r="AD50" s="129" t="inlineStr">
        <is>
          <t>2026-07</t>
        </is>
      </c>
      <c r="AE50" s="182" t="inlineStr">
        <is>
          <t>-</t>
        </is>
      </c>
      <c r="AF50" s="182" t="inlineStr">
        <is>
          <t>-</t>
        </is>
      </c>
    </row>
    <row r="51" ht="15.75" customHeight="1">
      <c r="A51" s="296" t="n">
        <v>47</v>
      </c>
      <c r="B51" s="296" t="inlineStr">
        <is>
          <t>CPO667</t>
        </is>
      </c>
      <c r="C51" s="297" t="inlineStr">
        <is>
          <t>Christie</t>
        </is>
      </c>
      <c r="D51" s="296" t="inlineStr">
        <is>
          <t>Net 45 days</t>
        </is>
      </c>
      <c r="E51" s="297" t="inlineStr">
        <is>
          <t>워런티(EW)</t>
        </is>
      </c>
      <c r="F51" s="298" t="n">
        <v>45925</v>
      </c>
      <c r="G51" s="299" t="n">
        <v>46080</v>
      </c>
      <c r="H51" s="300" t="n">
        <v>5673</v>
      </c>
      <c r="I51" s="301" t="n">
        <v>1441.6</v>
      </c>
      <c r="J51" s="302" t="n">
        <v>8178197</v>
      </c>
      <c r="K51" s="302" t="n">
        <v>8178197</v>
      </c>
      <c r="L51" s="302" t="n">
        <v>499</v>
      </c>
      <c r="M51" s="302" t="n">
        <v>319</v>
      </c>
      <c r="N51" s="296" t="inlineStr">
        <is>
          <t>EW CP2220</t>
        </is>
      </c>
      <c r="O51" s="299" t="inlineStr">
        <is>
          <t>-</t>
        </is>
      </c>
      <c r="P51" s="296" t="inlineStr">
        <is>
          <t>-</t>
        </is>
      </c>
      <c r="Q51" s="300">
        <f>IF(P51="","",IFERROR(VLOOKUP(O51,FxRateTable,4,TRUE),""))</f>
        <v/>
      </c>
      <c r="R51" s="302">
        <f>IF(P51="","",H51)</f>
        <v/>
      </c>
      <c r="S51" s="302" t="n">
        <v>0</v>
      </c>
      <c r="T51" s="302" t="n">
        <v>0</v>
      </c>
      <c r="U51" s="298" t="n"/>
      <c r="V51" s="296" t="inlineStr">
        <is>
          <t>-</t>
        </is>
      </c>
      <c r="W51" s="302" t="n">
        <v>0</v>
      </c>
      <c r="X51" s="297" t="inlineStr">
        <is>
          <t>-</t>
        </is>
      </c>
      <c r="Y51" s="302" t="n">
        <v>0</v>
      </c>
      <c r="Z51" s="302">
        <f>S51+W51</f>
        <v/>
      </c>
      <c r="AA51" s="302">
        <f>K51+L51+M51+IFERROR(VLOOKUP(B51,RemitTable2,9,FALSE),0)+Y51+Z51</f>
        <v/>
      </c>
      <c r="AB51" s="303" t="n">
        <v>1</v>
      </c>
      <c r="AC51" s="302">
        <f>ROUND(AA51/AB51,0)</f>
        <v/>
      </c>
      <c r="AD51" s="296" t="inlineStr">
        <is>
          <t>2025-09</t>
        </is>
      </c>
      <c r="AE51" s="299" t="inlineStr">
        <is>
          <t>2025-09-13</t>
        </is>
      </c>
      <c r="AF51" s="298" t="inlineStr">
        <is>
          <t>2026-08-28</t>
        </is>
      </c>
    </row>
    <row r="52" ht="15.75" customHeight="1">
      <c r="A52" s="296" t="n">
        <v>48</v>
      </c>
      <c r="B52" s="296" t="inlineStr">
        <is>
          <t>GPO458</t>
        </is>
      </c>
      <c r="C52" s="297" t="inlineStr">
        <is>
          <t>GDC</t>
        </is>
      </c>
      <c r="D52" s="296" t="inlineStr">
        <is>
          <t>Net 30 days</t>
        </is>
      </c>
      <c r="E52" s="297" t="inlineStr">
        <is>
          <t>라이센스</t>
        </is>
      </c>
      <c r="F52" s="298" t="n">
        <v>45982</v>
      </c>
      <c r="G52" s="299" t="n">
        <v>46020</v>
      </c>
      <c r="H52" s="300" t="n">
        <v>350</v>
      </c>
      <c r="I52" s="301" t="n">
        <v>1439.1</v>
      </c>
      <c r="J52" s="302" t="n">
        <v>503685</v>
      </c>
      <c r="K52" s="302" t="n">
        <v>503685</v>
      </c>
      <c r="L52" s="302" t="n">
        <v>253</v>
      </c>
      <c r="M52" s="302" t="n">
        <v>202</v>
      </c>
      <c r="N52" s="296" t="inlineStr">
        <is>
          <t>HFR License</t>
        </is>
      </c>
      <c r="O52" s="299" t="inlineStr">
        <is>
          <t>-</t>
        </is>
      </c>
      <c r="P52" s="296" t="inlineStr">
        <is>
          <t>-</t>
        </is>
      </c>
      <c r="Q52" s="300">
        <f>IF(P52="","",IFERROR(VLOOKUP(O52,FxRateTable,4,TRUE),""))</f>
        <v/>
      </c>
      <c r="R52" s="302">
        <f>IF(P52="","",H52)</f>
        <v/>
      </c>
      <c r="S52" s="302" t="n">
        <v>0</v>
      </c>
      <c r="T52" s="302" t="n">
        <v>0</v>
      </c>
      <c r="U52" s="298" t="n"/>
      <c r="V52" s="296" t="inlineStr">
        <is>
          <t>-</t>
        </is>
      </c>
      <c r="W52" s="302" t="n">
        <v>0</v>
      </c>
      <c r="X52" s="297" t="inlineStr">
        <is>
          <t>-</t>
        </is>
      </c>
      <c r="Y52" s="302" t="n">
        <v>0</v>
      </c>
      <c r="Z52" s="302">
        <f>S52+W52</f>
        <v/>
      </c>
      <c r="AA52" s="302">
        <f>K52+L52+M52+IFERROR(VLOOKUP(B52,RemitTable2,9,FALSE),0)+Y52+Z52</f>
        <v/>
      </c>
      <c r="AB52" s="303" t="n">
        <v>1</v>
      </c>
      <c r="AC52" s="302">
        <f>ROUND(AA52/AB52,0)</f>
        <v/>
      </c>
      <c r="AD52" s="296" t="inlineStr">
        <is>
          <t>2025-12</t>
        </is>
      </c>
      <c r="AE52" s="299" t="inlineStr">
        <is>
          <t>2025-12-01</t>
        </is>
      </c>
      <c r="AF52" s="298" t="inlineStr">
        <is>
          <t>2026-11-30</t>
        </is>
      </c>
    </row>
    <row r="53" ht="15.75" customHeight="1">
      <c r="A53" s="296" t="n">
        <v>49</v>
      </c>
      <c r="B53" s="296" t="inlineStr">
        <is>
          <t>CPO681</t>
        </is>
      </c>
      <c r="C53" s="297" t="inlineStr">
        <is>
          <t>Christie</t>
        </is>
      </c>
      <c r="D53" s="296" t="inlineStr">
        <is>
          <t>Net 45 days</t>
        </is>
      </c>
      <c r="E53" s="297" t="inlineStr">
        <is>
          <t>워런티(EW)</t>
        </is>
      </c>
      <c r="F53" s="298" t="n">
        <v>45993</v>
      </c>
      <c r="G53" s="299" t="n">
        <v>46064</v>
      </c>
      <c r="H53" s="300" t="n">
        <v>26358</v>
      </c>
      <c r="I53" s="301" t="n">
        <v>1460.7</v>
      </c>
      <c r="J53" s="302" t="n">
        <v>38501131</v>
      </c>
      <c r="K53" s="302" t="n">
        <v>38501131</v>
      </c>
      <c r="L53" s="302" t="n">
        <v>12500</v>
      </c>
      <c r="M53" s="302" t="n">
        <v>8000</v>
      </c>
      <c r="N53" s="296" t="inlineStr">
        <is>
          <t>EW CP2309/2315/2320-RGB</t>
        </is>
      </c>
      <c r="O53" s="299" t="inlineStr">
        <is>
          <t>-</t>
        </is>
      </c>
      <c r="P53" s="296" t="inlineStr">
        <is>
          <t>-</t>
        </is>
      </c>
      <c r="Q53" s="300">
        <f>IF(P53="","",IFERROR(VLOOKUP(O53,FxRateTable,4,TRUE),""))</f>
        <v/>
      </c>
      <c r="R53" s="302">
        <f>IF(P53="","",H53)</f>
        <v/>
      </c>
      <c r="S53" s="302" t="n">
        <v>0</v>
      </c>
      <c r="T53" s="302" t="n">
        <v>0</v>
      </c>
      <c r="U53" s="298" t="n"/>
      <c r="V53" s="296" t="inlineStr">
        <is>
          <t>-</t>
        </is>
      </c>
      <c r="W53" s="302" t="n">
        <v>0</v>
      </c>
      <c r="X53" s="297" t="inlineStr">
        <is>
          <t>-</t>
        </is>
      </c>
      <c r="Y53" s="302" t="n">
        <v>0</v>
      </c>
      <c r="Z53" s="302">
        <f>S53+W53</f>
        <v/>
      </c>
      <c r="AA53" s="302">
        <f>K53+L53+M53+IFERROR(VLOOKUP(B53,RemitTable2,9,FALSE),0)+Y53+Z53</f>
        <v/>
      </c>
      <c r="AB53" s="303" t="n">
        <v>1</v>
      </c>
      <c r="AC53" s="302">
        <f>ROUND(AA53/AB53,0)</f>
        <v/>
      </c>
      <c r="AD53" s="296" t="inlineStr">
        <is>
          <t>2025-12</t>
        </is>
      </c>
      <c r="AE53" s="299" t="inlineStr">
        <is>
          <t>2025-12-22</t>
        </is>
      </c>
      <c r="AF53" s="298" t="inlineStr">
        <is>
          <t>2026-12-21</t>
        </is>
      </c>
    </row>
    <row r="54" ht="15.75" customHeight="1">
      <c r="A54" s="296" t="n">
        <v>50</v>
      </c>
      <c r="B54" s="296" t="inlineStr">
        <is>
          <t>GPO459</t>
        </is>
      </c>
      <c r="C54" s="297" t="inlineStr">
        <is>
          <t>GDC</t>
        </is>
      </c>
      <c r="D54" s="296" t="inlineStr">
        <is>
          <t>Net 30 days</t>
        </is>
      </c>
      <c r="E54" s="297" t="inlineStr">
        <is>
          <t>워런티(EW)</t>
        </is>
      </c>
      <c r="F54" s="298" t="n">
        <v>46007</v>
      </c>
      <c r="G54" s="299" t="n">
        <v>46043</v>
      </c>
      <c r="H54" s="300" t="n">
        <v>450</v>
      </c>
      <c r="I54" s="301" t="n">
        <v>1475.7</v>
      </c>
      <c r="J54" s="302" t="n">
        <v>664065</v>
      </c>
      <c r="K54" s="302" t="n">
        <v>664065</v>
      </c>
      <c r="L54" s="302" t="n">
        <v>912</v>
      </c>
      <c r="M54" s="302" t="n">
        <v>973</v>
      </c>
      <c r="N54" s="296" t="inlineStr">
        <is>
          <t>TMS-2000 EW</t>
        </is>
      </c>
      <c r="O54" s="299" t="inlineStr">
        <is>
          <t>-</t>
        </is>
      </c>
      <c r="P54" s="296" t="inlineStr">
        <is>
          <t>-</t>
        </is>
      </c>
      <c r="Q54" s="300">
        <f>IF(P54="","",IFERROR(VLOOKUP(O54,FxRateTable,4,TRUE),""))</f>
        <v/>
      </c>
      <c r="R54" s="302">
        <f>IF(P54="","",H54)</f>
        <v/>
      </c>
      <c r="S54" s="302" t="n">
        <v>0</v>
      </c>
      <c r="T54" s="302" t="n">
        <v>0</v>
      </c>
      <c r="U54" s="298" t="n"/>
      <c r="V54" s="296" t="inlineStr">
        <is>
          <t>-</t>
        </is>
      </c>
      <c r="W54" s="302" t="n">
        <v>0</v>
      </c>
      <c r="X54" s="297" t="inlineStr">
        <is>
          <t>-</t>
        </is>
      </c>
      <c r="Y54" s="302" t="n">
        <v>0</v>
      </c>
      <c r="Z54" s="302">
        <f>S54+W54</f>
        <v/>
      </c>
      <c r="AA54" s="302">
        <f>K54+L54+M54+IFERROR(VLOOKUP(B54,RemitTable2,9,FALSE),0)+Y54+Z54</f>
        <v/>
      </c>
      <c r="AB54" s="303" t="n">
        <v>1</v>
      </c>
      <c r="AC54" s="302">
        <f>ROUND(AA54/AB54,0)</f>
        <v/>
      </c>
      <c r="AD54" s="296" t="inlineStr">
        <is>
          <t>2026-01</t>
        </is>
      </c>
      <c r="AE54" s="299" t="inlineStr">
        <is>
          <t>2026-01-01</t>
        </is>
      </c>
      <c r="AF54" s="298" t="inlineStr">
        <is>
          <t>2026-12-31</t>
        </is>
      </c>
    </row>
    <row r="55" ht="15.75" customHeight="1">
      <c r="A55" s="296" t="n">
        <v>51</v>
      </c>
      <c r="B55" s="296" t="inlineStr">
        <is>
          <t>GPO461</t>
        </is>
      </c>
      <c r="C55" s="297" t="inlineStr">
        <is>
          <t>GDC</t>
        </is>
      </c>
      <c r="D55" s="296" t="inlineStr">
        <is>
          <t>Net 30 days</t>
        </is>
      </c>
      <c r="E55" s="297" t="inlineStr">
        <is>
          <t>워런티(EW)</t>
        </is>
      </c>
      <c r="F55" s="298" t="n">
        <v>46007</v>
      </c>
      <c r="G55" s="299" t="n">
        <v>46043</v>
      </c>
      <c r="H55" s="300" t="n">
        <v>540</v>
      </c>
      <c r="I55" s="301" t="n">
        <v>1475.7</v>
      </c>
      <c r="J55" s="302" t="n">
        <v>796878</v>
      </c>
      <c r="K55" s="302" t="n">
        <v>796878</v>
      </c>
      <c r="L55" s="302" t="n">
        <v>1095</v>
      </c>
      <c r="M55" s="302" t="n">
        <v>1168</v>
      </c>
      <c r="N55" s="296" t="inlineStr">
        <is>
          <t>TMS-1000 EW</t>
        </is>
      </c>
      <c r="O55" s="299" t="inlineStr">
        <is>
          <t>-</t>
        </is>
      </c>
      <c r="P55" s="296" t="inlineStr">
        <is>
          <t>-</t>
        </is>
      </c>
      <c r="Q55" s="300">
        <f>IF(P55="","",IFERROR(VLOOKUP(O55,FxRateTable,4,TRUE),""))</f>
        <v/>
      </c>
      <c r="R55" s="302">
        <f>IF(P55="","",H55)</f>
        <v/>
      </c>
      <c r="S55" s="302" t="n">
        <v>0</v>
      </c>
      <c r="T55" s="302" t="n">
        <v>0</v>
      </c>
      <c r="U55" s="298" t="n"/>
      <c r="V55" s="296" t="inlineStr">
        <is>
          <t>-</t>
        </is>
      </c>
      <c r="W55" s="302" t="n">
        <v>0</v>
      </c>
      <c r="X55" s="297" t="inlineStr">
        <is>
          <t>-</t>
        </is>
      </c>
      <c r="Y55" s="302" t="n">
        <v>0</v>
      </c>
      <c r="Z55" s="302">
        <f>S55+W55</f>
        <v/>
      </c>
      <c r="AA55" s="302">
        <f>K55+L55+M55+IFERROR(VLOOKUP(B55,RemitTable2,9,FALSE),0)+Y55+Z55</f>
        <v/>
      </c>
      <c r="AB55" s="303" t="n">
        <v>1</v>
      </c>
      <c r="AC55" s="302">
        <f>ROUND(AA55/AB55,0)</f>
        <v/>
      </c>
      <c r="AD55" s="296" t="inlineStr">
        <is>
          <t>2025-11</t>
        </is>
      </c>
      <c r="AE55" s="299" t="inlineStr">
        <is>
          <t>2025-11-01</t>
        </is>
      </c>
      <c r="AF55" s="298" t="inlineStr">
        <is>
          <t>2026-10-30</t>
        </is>
      </c>
    </row>
    <row r="56" ht="15.75" customHeight="1">
      <c r="A56" s="296" t="n">
        <v>52</v>
      </c>
      <c r="B56" s="296" t="inlineStr">
        <is>
          <t>CPO685</t>
        </is>
      </c>
      <c r="C56" s="297" t="inlineStr">
        <is>
          <t>Christie</t>
        </is>
      </c>
      <c r="D56" s="296" t="inlineStr">
        <is>
          <t>Net 45 days</t>
        </is>
      </c>
      <c r="E56" s="297" t="inlineStr">
        <is>
          <t>워런티(EW)</t>
        </is>
      </c>
      <c r="F56" s="298" t="n">
        <v>46010</v>
      </c>
      <c r="G56" s="299" t="n">
        <v>46080</v>
      </c>
      <c r="H56" s="300" t="n">
        <v>136516</v>
      </c>
      <c r="I56" s="301" t="n">
        <v>1441.6</v>
      </c>
      <c r="J56" s="302" t="n">
        <v>196801466</v>
      </c>
      <c r="K56" s="302" t="n">
        <v>196801466</v>
      </c>
      <c r="L56" s="302" t="n">
        <v>12001</v>
      </c>
      <c r="M56" s="302" t="n">
        <v>7681</v>
      </c>
      <c r="N56" s="296" t="inlineStr">
        <is>
          <t>EW 대량 (CP2208~CP4450)</t>
        </is>
      </c>
      <c r="O56" s="299" t="inlineStr">
        <is>
          <t>-</t>
        </is>
      </c>
      <c r="P56" s="296" t="inlineStr">
        <is>
          <t>-</t>
        </is>
      </c>
      <c r="Q56" s="300">
        <f>IF(P56="","",IFERROR(VLOOKUP(O56,FxRateTable,4,TRUE),""))</f>
        <v/>
      </c>
      <c r="R56" s="302">
        <f>IF(P56="","",H56)</f>
        <v/>
      </c>
      <c r="S56" s="302" t="n">
        <v>0</v>
      </c>
      <c r="T56" s="302" t="n">
        <v>0</v>
      </c>
      <c r="U56" s="298" t="n"/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2026-01</t>
        </is>
      </c>
      <c r="AE56" s="299" t="inlineStr">
        <is>
          <t>2026-01-01</t>
        </is>
      </c>
      <c r="AF56" s="298" t="inlineStr">
        <is>
          <t>2026-12-31</t>
        </is>
      </c>
    </row>
    <row r="57" ht="15.75" customHeight="1">
      <c r="A57" s="296" t="n">
        <v>53</v>
      </c>
      <c r="B57" s="296" t="inlineStr">
        <is>
          <t>GPO465</t>
        </is>
      </c>
      <c r="C57" s="297" t="inlineStr">
        <is>
          <t>GDC</t>
        </is>
      </c>
      <c r="D57" s="296" t="inlineStr">
        <is>
          <t>Net 30 days</t>
        </is>
      </c>
      <c r="E57" s="297" t="inlineStr">
        <is>
          <t>워런티(EW)</t>
        </is>
      </c>
      <c r="F57" s="298" t="n">
        <v>46015</v>
      </c>
      <c r="G57" s="299" t="inlineStr">
        <is>
          <t>-</t>
        </is>
      </c>
      <c r="H57" s="300" t="n">
        <v>76054</v>
      </c>
      <c r="I57" s="301">
        <f>IFERROR(VLOOKUP(B57,RemitTable2,7,FALSE),0)</f>
        <v/>
      </c>
      <c r="J57" s="302" t="n">
        <v>0</v>
      </c>
      <c r="K57" s="302">
        <f>IFERROR(ROUND(H57*I57,0),0)</f>
        <v/>
      </c>
      <c r="L57" s="302">
        <f>IFERROR(VLOOKUP(B57,RemitTable2,10,FALSE),0)</f>
        <v/>
      </c>
      <c r="M57" s="302">
        <f>IFERROR(VLOOKUP(B57,RemitTable2,11,FALSE),0)</f>
        <v/>
      </c>
      <c r="N57" s="296" t="inlineStr">
        <is>
          <t>EW 대량 (SR/SX/TMS)</t>
        </is>
      </c>
      <c r="O57" s="299" t="inlineStr">
        <is>
          <t>-</t>
        </is>
      </c>
      <c r="P57" s="296" t="inlineStr">
        <is>
          <t>-</t>
        </is>
      </c>
      <c r="Q57" s="300">
        <f>IF(P57="","",IFERROR(VLOOKUP(O57,FxRateTable,4,TRUE),""))</f>
        <v/>
      </c>
      <c r="R57" s="302">
        <f>IF(P57="","",H57)</f>
        <v/>
      </c>
      <c r="S57" s="302" t="n">
        <v>0</v>
      </c>
      <c r="T57" s="302" t="n">
        <v>0</v>
      </c>
      <c r="U57" s="298" t="n"/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2026-01</t>
        </is>
      </c>
      <c r="AE57" s="299" t="inlineStr">
        <is>
          <t>2026-01-01</t>
        </is>
      </c>
      <c r="AF57" s="298" t="inlineStr">
        <is>
          <t>2026-12-31</t>
        </is>
      </c>
    </row>
    <row r="58" ht="15.75" customHeight="1">
      <c r="A58" s="296" t="n">
        <v>54</v>
      </c>
      <c r="B58" s="296" t="inlineStr">
        <is>
          <t>CPO686</t>
        </is>
      </c>
      <c r="C58" s="297" t="inlineStr">
        <is>
          <t>Christie</t>
        </is>
      </c>
      <c r="D58" s="296" t="inlineStr">
        <is>
          <t>Net 45 days</t>
        </is>
      </c>
      <c r="E58" s="297" t="inlineStr">
        <is>
          <t>워런티(EW)</t>
        </is>
      </c>
      <c r="F58" s="298" t="n">
        <v>46029</v>
      </c>
      <c r="G58" s="299" t="n">
        <v>46072</v>
      </c>
      <c r="H58" s="300" t="n">
        <v>14793</v>
      </c>
      <c r="I58" s="301" t="n">
        <v>1451.7</v>
      </c>
      <c r="J58" s="302" t="n">
        <v>21474998</v>
      </c>
      <c r="K58" s="302" t="n">
        <v>21474998</v>
      </c>
      <c r="L58" s="302" t="n">
        <v>8435</v>
      </c>
      <c r="M58" s="302" t="n">
        <v>6748</v>
      </c>
      <c r="N58" s="296" t="inlineStr">
        <is>
          <t>EW CP2315/CP4440-RGB</t>
        </is>
      </c>
      <c r="O58" s="299" t="inlineStr">
        <is>
          <t>-</t>
        </is>
      </c>
      <c r="P58" s="296" t="inlineStr">
        <is>
          <t>-</t>
        </is>
      </c>
      <c r="Q58" s="300">
        <f>IF(P58="","",IFERROR(VLOOKUP(O58,FxRateTable,4,TRUE),""))</f>
        <v/>
      </c>
      <c r="R58" s="302">
        <f>IF(P58="","",H58)</f>
        <v/>
      </c>
      <c r="S58" s="302" t="n">
        <v>0</v>
      </c>
      <c r="T58" s="302" t="n">
        <v>0</v>
      </c>
      <c r="U58" s="298" t="n"/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2026-01</t>
        </is>
      </c>
      <c r="AE58" s="299" t="inlineStr">
        <is>
          <t>2026-01-30</t>
        </is>
      </c>
      <c r="AF58" s="298" t="inlineStr">
        <is>
          <t>2027-01-29</t>
        </is>
      </c>
    </row>
    <row r="59" ht="15.75" customHeight="1">
      <c r="A59" s="296" t="n">
        <v>55</v>
      </c>
      <c r="B59" s="296" t="inlineStr">
        <is>
          <t>CPO687</t>
        </is>
      </c>
      <c r="C59" s="297" t="inlineStr">
        <is>
          <t>Christie</t>
        </is>
      </c>
      <c r="D59" s="296" t="inlineStr">
        <is>
          <t>Net 45 days</t>
        </is>
      </c>
      <c r="E59" s="297" t="inlineStr">
        <is>
          <t>워런티(EW)</t>
        </is>
      </c>
      <c r="F59" s="298" t="n">
        <v>46029</v>
      </c>
      <c r="G59" s="299" t="inlineStr">
        <is>
          <t>-</t>
        </is>
      </c>
      <c r="H59" s="300" t="n">
        <v>26656</v>
      </c>
      <c r="I59" s="301">
        <f>IFERROR(VLOOKUP(B59,RemitTable2,7,FALSE),0)</f>
        <v/>
      </c>
      <c r="J59" s="302" t="n">
        <v>0</v>
      </c>
      <c r="K59" s="302">
        <f>IFERROR(ROUND(H59*I59,0),0)</f>
        <v/>
      </c>
      <c r="L59" s="302">
        <f>IFERROR(VLOOKUP(B59,RemitTable2,10,FALSE),0)</f>
        <v/>
      </c>
      <c r="M59" s="302">
        <f>IFERROR(VLOOKUP(B59,RemitTable2,11,FALSE),0)</f>
        <v/>
      </c>
      <c r="N59" s="296" t="inlineStr">
        <is>
          <t>EW (홀딩)</t>
        </is>
      </c>
      <c r="O59" s="299" t="inlineStr">
        <is>
          <t>-</t>
        </is>
      </c>
      <c r="P59" s="296" t="inlineStr">
        <is>
          <t>-</t>
        </is>
      </c>
      <c r="Q59" s="300">
        <f>IF(P59="","",IFERROR(VLOOKUP(O59,FxRateTable,4,TRUE),""))</f>
        <v/>
      </c>
      <c r="R59" s="302">
        <f>IF(P59="","",H59)</f>
        <v/>
      </c>
      <c r="S59" s="302" t="n">
        <v>0</v>
      </c>
      <c r="T59" s="302" t="n">
        <v>0</v>
      </c>
      <c r="U59" s="298" t="n"/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2026-01</t>
        </is>
      </c>
      <c r="AE59" s="299" t="inlineStr">
        <is>
          <t>-</t>
        </is>
      </c>
      <c r="AF59" s="298" t="inlineStr">
        <is>
          <t>-</t>
        </is>
      </c>
    </row>
    <row r="60" ht="15.75" customHeight="1">
      <c r="A60" s="296" t="n">
        <v>56</v>
      </c>
      <c r="B60" s="296" t="inlineStr">
        <is>
          <t>GPO462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라이센스</t>
        </is>
      </c>
      <c r="F60" s="298" t="n">
        <v>46042</v>
      </c>
      <c r="G60" s="299" t="n">
        <v>46057</v>
      </c>
      <c r="H60" s="300" t="n">
        <v>1440</v>
      </c>
      <c r="I60" s="301" t="n">
        <v>1453.6</v>
      </c>
      <c r="J60" s="302" t="n">
        <v>2093184</v>
      </c>
      <c r="K60" s="302" t="n">
        <v>2093184</v>
      </c>
      <c r="L60" s="302" t="n">
        <v>1241</v>
      </c>
      <c r="M60" s="302" t="n">
        <v>993</v>
      </c>
      <c r="N60" s="296" t="inlineStr">
        <is>
          <t>TMS-2000 License</t>
        </is>
      </c>
      <c r="O60" s="299" t="inlineStr">
        <is>
          <t>-</t>
        </is>
      </c>
      <c r="P60" s="296" t="inlineStr">
        <is>
          <t>-</t>
        </is>
      </c>
      <c r="Q60" s="300">
        <f>IF(P60="","",IFERROR(VLOOKUP(O60,FxRateTable,4,TRUE),""))</f>
        <v/>
      </c>
      <c r="R60" s="302">
        <f>IF(P60="","",H60)</f>
        <v/>
      </c>
      <c r="S60" s="302" t="n">
        <v>0</v>
      </c>
      <c r="T60" s="302" t="n">
        <v>0</v>
      </c>
      <c r="U60" s="298" t="n"/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2026-01</t>
        </is>
      </c>
      <c r="AE60" s="299" t="inlineStr">
        <is>
          <t>2026-01-01</t>
        </is>
      </c>
      <c r="AF60" s="298" t="inlineStr">
        <is>
          <t>2026-12-31</t>
        </is>
      </c>
    </row>
    <row r="61" ht="15.75" customHeight="1">
      <c r="A61" s="296" t="n">
        <v>57</v>
      </c>
      <c r="B61" s="296" t="inlineStr">
        <is>
          <t>GPO463</t>
        </is>
      </c>
      <c r="C61" s="297" t="inlineStr">
        <is>
          <t>GDC</t>
        </is>
      </c>
      <c r="D61" s="296" t="inlineStr">
        <is>
          <t>Net 30 days</t>
        </is>
      </c>
      <c r="E61" s="297" t="inlineStr">
        <is>
          <t>워런티(EW)</t>
        </is>
      </c>
      <c r="F61" s="298" t="n">
        <v>46042</v>
      </c>
      <c r="G61" s="299" t="n">
        <v>46057</v>
      </c>
      <c r="H61" s="300" t="n">
        <v>4489</v>
      </c>
      <c r="I61" s="301" t="n">
        <v>1453.6</v>
      </c>
      <c r="J61" s="302" t="n">
        <v>6525210</v>
      </c>
      <c r="K61" s="302" t="n">
        <v>6525210</v>
      </c>
      <c r="L61" s="302" t="n">
        <v>3870</v>
      </c>
      <c r="M61" s="302" t="n">
        <v>3096</v>
      </c>
      <c r="N61" s="296" t="inlineStr">
        <is>
          <t>SX/SR EW (CGV/Lotte)</t>
        </is>
      </c>
      <c r="O61" s="299" t="inlineStr">
        <is>
          <t>-</t>
        </is>
      </c>
      <c r="P61" s="296" t="inlineStr">
        <is>
          <t>-</t>
        </is>
      </c>
      <c r="Q61" s="300">
        <f>IF(P61="","",IFERROR(VLOOKUP(O61,FxRateTable,4,TRUE),""))</f>
        <v/>
      </c>
      <c r="R61" s="302">
        <f>IF(P61="","",H61)</f>
        <v/>
      </c>
      <c r="S61" s="302" t="n">
        <v>0</v>
      </c>
      <c r="T61" s="302" t="n">
        <v>0</v>
      </c>
      <c r="U61" s="298" t="n"/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2026-01</t>
        </is>
      </c>
      <c r="AE61" s="299" t="inlineStr">
        <is>
          <t>2026-01-01</t>
        </is>
      </c>
      <c r="AF61" s="298" t="inlineStr">
        <is>
          <t>2026-12-31</t>
        </is>
      </c>
    </row>
    <row r="62" ht="15.75" customHeight="1">
      <c r="A62" s="296" t="n">
        <v>58</v>
      </c>
      <c r="B62" s="296" t="inlineStr">
        <is>
          <t>GPO464</t>
        </is>
      </c>
      <c r="C62" s="297" t="inlineStr">
        <is>
          <t>GDC</t>
        </is>
      </c>
      <c r="D62" s="296" t="inlineStr">
        <is>
          <t>Net 30 days</t>
        </is>
      </c>
      <c r="E62" s="297" t="inlineStr">
        <is>
          <t>워런티(EW)</t>
        </is>
      </c>
      <c r="F62" s="298" t="n">
        <v>46042</v>
      </c>
      <c r="G62" s="299" t="n">
        <v>46057</v>
      </c>
      <c r="H62" s="300" t="n">
        <v>5670.57</v>
      </c>
      <c r="I62" s="301" t="n">
        <v>1453.6</v>
      </c>
      <c r="J62" s="302" t="n">
        <v>8242741</v>
      </c>
      <c r="K62" s="302" t="n">
        <v>8242741</v>
      </c>
      <c r="L62" s="302" t="n">
        <v>4889</v>
      </c>
      <c r="M62" s="302" t="n">
        <v>3911</v>
      </c>
      <c r="N62" s="296" t="inlineStr">
        <is>
          <t>SR-1000/SX-3000 EW</t>
        </is>
      </c>
      <c r="O62" s="299" t="inlineStr">
        <is>
          <t>-</t>
        </is>
      </c>
      <c r="P62" s="296" t="inlineStr">
        <is>
          <t>-</t>
        </is>
      </c>
      <c r="Q62" s="300">
        <f>IF(P62="","",IFERROR(VLOOKUP(O62,FxRateTable,4,TRUE),""))</f>
        <v/>
      </c>
      <c r="R62" s="302">
        <f>IF(P62="","",H62)</f>
        <v/>
      </c>
      <c r="S62" s="302" t="n">
        <v>0</v>
      </c>
      <c r="T62" s="302" t="n">
        <v>0</v>
      </c>
      <c r="U62" s="298" t="n"/>
      <c r="V62" s="296" t="inlineStr">
        <is>
          <t>-</t>
        </is>
      </c>
      <c r="W62" s="302" t="n">
        <v>0</v>
      </c>
      <c r="X62" s="297" t="inlineStr">
        <is>
          <t>-</t>
        </is>
      </c>
      <c r="Y62" s="302" t="n">
        <v>0</v>
      </c>
      <c r="Z62" s="302">
        <f>S62+W62</f>
        <v/>
      </c>
      <c r="AA62" s="302">
        <f>K62+L62+M62+IFERROR(VLOOKUP(B62,RemitTable2,9,FALSE),0)+Y62+Z62</f>
        <v/>
      </c>
      <c r="AB62" s="303" t="n">
        <v>1</v>
      </c>
      <c r="AC62" s="302">
        <f>ROUND(AA62/AB62,0)</f>
        <v/>
      </c>
      <c r="AD62" s="296" t="inlineStr">
        <is>
          <t>2026-01</t>
        </is>
      </c>
      <c r="AE62" s="299" t="inlineStr">
        <is>
          <t>2026-01-01</t>
        </is>
      </c>
      <c r="AF62" s="298" t="inlineStr">
        <is>
          <t>2026-12-31</t>
        </is>
      </c>
    </row>
    <row r="63" ht="15.75" customHeight="1">
      <c r="A63" s="296" t="n">
        <v>59</v>
      </c>
      <c r="B63" s="296" t="inlineStr">
        <is>
          <t>CPO691</t>
        </is>
      </c>
      <c r="C63" s="297" t="inlineStr">
        <is>
          <t>Christie</t>
        </is>
      </c>
      <c r="D63" s="296" t="inlineStr">
        <is>
          <t>Net 45 days</t>
        </is>
      </c>
      <c r="E63" s="297" t="inlineStr">
        <is>
          <t>워런티(EW)</t>
        </is>
      </c>
      <c r="F63" s="298" t="n">
        <v>46057</v>
      </c>
      <c r="G63" s="299" t="n">
        <v>46113</v>
      </c>
      <c r="H63" s="300" t="n">
        <v>24614</v>
      </c>
      <c r="I63" s="301" t="n">
        <v>1505.7</v>
      </c>
      <c r="J63" s="302" t="n">
        <v>37061300</v>
      </c>
      <c r="K63" s="302" t="n">
        <v>37061300</v>
      </c>
      <c r="L63" s="302" t="n">
        <v>8956</v>
      </c>
      <c r="M63" s="302" t="n">
        <v>5732</v>
      </c>
      <c r="N63" s="296" t="inlineStr">
        <is>
          <t>EW (메가박스 외)</t>
        </is>
      </c>
      <c r="O63" s="299" t="inlineStr">
        <is>
          <t>-</t>
        </is>
      </c>
      <c r="P63" s="296" t="inlineStr">
        <is>
          <t>-</t>
        </is>
      </c>
      <c r="Q63" s="300">
        <f>IF(P63="","",IFERROR(VLOOKUP(O63,FxRateTable,4,TRUE),""))</f>
        <v/>
      </c>
      <c r="R63" s="302">
        <f>IF(P63="","",H63)</f>
        <v/>
      </c>
      <c r="S63" s="302" t="n">
        <v>0</v>
      </c>
      <c r="T63" s="302" t="n">
        <v>0</v>
      </c>
      <c r="U63" s="298" t="n"/>
      <c r="V63" s="296" t="inlineStr">
        <is>
          <t>-</t>
        </is>
      </c>
      <c r="W63" s="302" t="n">
        <v>0</v>
      </c>
      <c r="X63" s="297" t="inlineStr">
        <is>
          <t>-</t>
        </is>
      </c>
      <c r="Y63" s="302" t="n">
        <v>0</v>
      </c>
      <c r="Z63" s="302">
        <f>S63+W63</f>
        <v/>
      </c>
      <c r="AA63" s="302">
        <f>K63+L63+M63+IFERROR(VLOOKUP(B63,RemitTable2,9,FALSE),0)+Y63+Z63</f>
        <v/>
      </c>
      <c r="AB63" s="303" t="n">
        <v>1</v>
      </c>
      <c r="AC63" s="302">
        <f>ROUND(AA63/AB63,0)</f>
        <v/>
      </c>
      <c r="AD63" s="296" t="inlineStr">
        <is>
          <t>2026-03</t>
        </is>
      </c>
      <c r="AE63" s="299" t="inlineStr">
        <is>
          <t>2026-03-01</t>
        </is>
      </c>
      <c r="AF63" s="298" t="inlineStr">
        <is>
          <t>2027-02-28</t>
        </is>
      </c>
    </row>
    <row r="64" ht="15.75" customHeight="1">
      <c r="A64" s="296" t="n">
        <v>60</v>
      </c>
      <c r="B64" s="296" t="inlineStr">
        <is>
          <t>GPO469</t>
        </is>
      </c>
      <c r="C64" s="297" t="inlineStr">
        <is>
          <t>GDC</t>
        </is>
      </c>
      <c r="D64" s="296" t="inlineStr">
        <is>
          <t>Net 30 days</t>
        </is>
      </c>
      <c r="E64" s="297" t="inlineStr">
        <is>
          <t>워런티(EW)</t>
        </is>
      </c>
      <c r="F64" s="298" t="n">
        <v>46060</v>
      </c>
      <c r="G64" s="299" t="n">
        <v>46113</v>
      </c>
      <c r="H64" s="300" t="n">
        <v>3993.05</v>
      </c>
      <c r="I64" s="301" t="n">
        <v>1506.4</v>
      </c>
      <c r="J64" s="302" t="n">
        <v>6015131</v>
      </c>
      <c r="K64" s="302" t="n">
        <v>6015131</v>
      </c>
      <c r="L64" s="302" t="n">
        <v>6093</v>
      </c>
      <c r="M64" s="302" t="n">
        <v>4875</v>
      </c>
      <c r="N64" s="296" t="inlineStr">
        <is>
          <t>SR/SX EW (하남미사 외)</t>
        </is>
      </c>
      <c r="O64" s="299" t="inlineStr">
        <is>
          <t>-</t>
        </is>
      </c>
      <c r="P64" s="296" t="inlineStr">
        <is>
          <t>-</t>
        </is>
      </c>
      <c r="Q64" s="300">
        <f>IF(P64="","",IFERROR(VLOOKUP(O64,FxRateTable,4,TRUE),""))</f>
        <v/>
      </c>
      <c r="R64" s="302">
        <f>IF(P64="","",H64)</f>
        <v/>
      </c>
      <c r="S64" s="302" t="n">
        <v>0</v>
      </c>
      <c r="T64" s="302" t="n">
        <v>0</v>
      </c>
      <c r="U64" s="298" t="n"/>
      <c r="V64" s="296" t="inlineStr">
        <is>
          <t>-</t>
        </is>
      </c>
      <c r="W64" s="302" t="n">
        <v>0</v>
      </c>
      <c r="X64" s="297" t="inlineStr">
        <is>
          <t>-</t>
        </is>
      </c>
      <c r="Y64" s="302" t="n">
        <v>0</v>
      </c>
      <c r="Z64" s="302">
        <f>S64+W64</f>
        <v/>
      </c>
      <c r="AA64" s="302">
        <f>K64+L64+M64+IFERROR(VLOOKUP(B64,RemitTable2,9,FALSE),0)+Y64+Z64</f>
        <v/>
      </c>
      <c r="AB64" s="303" t="n">
        <v>1</v>
      </c>
      <c r="AC64" s="302">
        <f>ROUND(AA64/AB64,0)</f>
        <v/>
      </c>
      <c r="AD64" s="296" t="inlineStr">
        <is>
          <t>2026-01</t>
        </is>
      </c>
      <c r="AE64" s="299" t="inlineStr">
        <is>
          <t>2026-01-01</t>
        </is>
      </c>
      <c r="AF64" s="298" t="inlineStr">
        <is>
          <t>2027-02-22</t>
        </is>
      </c>
    </row>
    <row r="65" ht="15.75" customHeight="1">
      <c r="A65" s="296" t="n">
        <v>61</v>
      </c>
      <c r="B65" s="296" t="inlineStr">
        <is>
          <t>GPO470</t>
        </is>
      </c>
      <c r="C65" s="297" t="inlineStr">
        <is>
          <t>GDC</t>
        </is>
      </c>
      <c r="D65" s="296" t="inlineStr">
        <is>
          <t>Net 30 days</t>
        </is>
      </c>
      <c r="E65" s="297" t="inlineStr">
        <is>
          <t>라이센스</t>
        </is>
      </c>
      <c r="F65" s="298" t="n">
        <v>46080</v>
      </c>
      <c r="G65" s="299" t="n">
        <v>46113</v>
      </c>
      <c r="H65" s="300" t="n">
        <v>360</v>
      </c>
      <c r="I65" s="301" t="n">
        <v>1506.4</v>
      </c>
      <c r="J65" s="302" t="n">
        <v>542304</v>
      </c>
      <c r="K65" s="302" t="n">
        <v>542304</v>
      </c>
      <c r="L65" s="302" t="n">
        <v>549</v>
      </c>
      <c r="M65" s="302" t="n">
        <v>439</v>
      </c>
      <c r="N65" s="296" t="inlineStr">
        <is>
          <t>TMS-1000 License</t>
        </is>
      </c>
      <c r="O65" s="299" t="inlineStr">
        <is>
          <t>-</t>
        </is>
      </c>
      <c r="P65" s="296" t="inlineStr">
        <is>
          <t>-</t>
        </is>
      </c>
      <c r="Q65" s="300">
        <f>IF(P65="","",IFERROR(VLOOKUP(O65,FxRateTable,4,TRUE),""))</f>
        <v/>
      </c>
      <c r="R65" s="302">
        <f>IF(P65="","",H65)</f>
        <v/>
      </c>
      <c r="S65" s="302" t="n">
        <v>0</v>
      </c>
      <c r="T65" s="302" t="n">
        <v>0</v>
      </c>
      <c r="U65" s="298" t="n"/>
      <c r="V65" s="296" t="inlineStr">
        <is>
          <t>-</t>
        </is>
      </c>
      <c r="W65" s="302" t="n">
        <v>0</v>
      </c>
      <c r="X65" s="297" t="inlineStr">
        <is>
          <t>-</t>
        </is>
      </c>
      <c r="Y65" s="302" t="n">
        <v>0</v>
      </c>
      <c r="Z65" s="302">
        <f>S65+W65</f>
        <v/>
      </c>
      <c r="AA65" s="302">
        <f>K65+L65+M65+IFERROR(VLOOKUP(B65,RemitTable2,9,FALSE),0)+Y65+Z65</f>
        <v/>
      </c>
      <c r="AB65" s="303" t="n">
        <v>1</v>
      </c>
      <c r="AC65" s="302">
        <f>ROUND(AA65/AB65,0)</f>
        <v/>
      </c>
      <c r="AD65" s="296" t="inlineStr">
        <is>
          <t>2026-03</t>
        </is>
      </c>
      <c r="AE65" s="299" t="inlineStr">
        <is>
          <t>2026-03-01</t>
        </is>
      </c>
      <c r="AF65" s="298" t="inlineStr">
        <is>
          <t>2027-02-28</t>
        </is>
      </c>
    </row>
    <row r="66" ht="15.75" customHeight="1">
      <c r="A66" s="296" t="n">
        <v>62</v>
      </c>
      <c r="B66" s="296" t="inlineStr">
        <is>
          <t>GPO471</t>
        </is>
      </c>
      <c r="C66" s="297" t="inlineStr">
        <is>
          <t>GDC</t>
        </is>
      </c>
      <c r="D66" s="296" t="inlineStr">
        <is>
          <t>Net 30 days</t>
        </is>
      </c>
      <c r="E66" s="297" t="inlineStr">
        <is>
          <t>라이센스</t>
        </is>
      </c>
      <c r="F66" s="298" t="n">
        <v>46088</v>
      </c>
      <c r="G66" s="299" t="n">
        <v>46113</v>
      </c>
      <c r="H66" s="300" t="n">
        <v>500</v>
      </c>
      <c r="I66" s="301" t="n">
        <v>1506.4</v>
      </c>
      <c r="J66" s="302" t="n">
        <v>753200</v>
      </c>
      <c r="K66" s="302" t="n">
        <v>753200</v>
      </c>
      <c r="L66" s="302" t="n">
        <v>763</v>
      </c>
      <c r="M66" s="302" t="n">
        <v>610</v>
      </c>
      <c r="N66" s="296" t="inlineStr">
        <is>
          <t>Dolby Atmos License</t>
        </is>
      </c>
      <c r="O66" s="299" t="inlineStr">
        <is>
          <t>-</t>
        </is>
      </c>
      <c r="P66" s="296" t="inlineStr">
        <is>
          <t>-</t>
        </is>
      </c>
      <c r="Q66" s="300">
        <f>IF(P66="","",IFERROR(VLOOKUP(O66,FxRateTable,4,TRUE),""))</f>
        <v/>
      </c>
      <c r="R66" s="302">
        <f>IF(P66="","",H66)</f>
        <v/>
      </c>
      <c r="S66" s="302" t="n">
        <v>0</v>
      </c>
      <c r="T66" s="302" t="n">
        <v>0</v>
      </c>
      <c r="U66" s="298" t="n"/>
      <c r="V66" s="296" t="inlineStr">
        <is>
          <t>-</t>
        </is>
      </c>
      <c r="W66" s="302" t="n">
        <v>0</v>
      </c>
      <c r="X66" s="297" t="inlineStr">
        <is>
          <t>-</t>
        </is>
      </c>
      <c r="Y66" s="302" t="n">
        <v>0</v>
      </c>
      <c r="Z66" s="302">
        <f>S66+W66</f>
        <v/>
      </c>
      <c r="AA66" s="302">
        <f>K66+L66+M66+IFERROR(VLOOKUP(B66,RemitTable2,9,FALSE),0)+Y66+Z66</f>
        <v/>
      </c>
      <c r="AB66" s="303" t="n">
        <v>1</v>
      </c>
      <c r="AC66" s="302">
        <f>ROUND(AA66/AB66,0)</f>
        <v/>
      </c>
      <c r="AD66" s="296" t="inlineStr">
        <is>
          <t>2026-03</t>
        </is>
      </c>
      <c r="AE66" s="299" t="inlineStr">
        <is>
          <t>-</t>
        </is>
      </c>
      <c r="AF66" s="298" t="inlineStr">
        <is>
          <t>-</t>
        </is>
      </c>
    </row>
    <row r="67" ht="15.75" customHeight="1">
      <c r="A67" s="296" t="n">
        <v>63</v>
      </c>
      <c r="B67" s="296" t="inlineStr">
        <is>
          <t>CPO694</t>
        </is>
      </c>
      <c r="C67" s="297" t="inlineStr">
        <is>
          <t>Christie</t>
        </is>
      </c>
      <c r="D67" s="296" t="inlineStr">
        <is>
          <t>Net 45 days</t>
        </is>
      </c>
      <c r="E67" s="297" t="inlineStr">
        <is>
          <t>워런티(EW)</t>
        </is>
      </c>
      <c r="F67" s="298" t="n">
        <v>46109</v>
      </c>
      <c r="G67" s="299" t="n">
        <v>46146</v>
      </c>
      <c r="H67" s="300" t="n">
        <v>17404</v>
      </c>
      <c r="I67" s="301" t="n">
        <v>1474.9</v>
      </c>
      <c r="J67" s="302" t="n">
        <v>25669160</v>
      </c>
      <c r="K67" s="302" t="n">
        <v>25669160</v>
      </c>
      <c r="L67" s="302" t="n">
        <v>10147</v>
      </c>
      <c r="M67" s="302" t="n">
        <v>6494</v>
      </c>
      <c r="N67" s="296" t="inlineStr">
        <is>
          <t>EW (CGV 동백 외)</t>
        </is>
      </c>
      <c r="O67" s="299" t="inlineStr">
        <is>
          <t>-</t>
        </is>
      </c>
      <c r="P67" s="296" t="inlineStr">
        <is>
          <t>-</t>
        </is>
      </c>
      <c r="Q67" s="300">
        <f>IF(P67="","",IFERROR(VLOOKUP(O67,FxRateTable,4,TRUE),""))</f>
        <v/>
      </c>
      <c r="R67" s="302">
        <f>IF(P67="","",H67)</f>
        <v/>
      </c>
      <c r="S67" s="302" t="n">
        <v>0</v>
      </c>
      <c r="T67" s="302" t="n">
        <v>0</v>
      </c>
      <c r="U67" s="298" t="n"/>
      <c r="V67" s="296" t="inlineStr">
        <is>
          <t>-</t>
        </is>
      </c>
      <c r="W67" s="302" t="n">
        <v>0</v>
      </c>
      <c r="X67" s="297" t="inlineStr">
        <is>
          <t>-</t>
        </is>
      </c>
      <c r="Y67" s="302" t="n">
        <v>0</v>
      </c>
      <c r="Z67" s="302">
        <f>S67+W67</f>
        <v/>
      </c>
      <c r="AA67" s="302">
        <f>K67+L67+M67+IFERROR(VLOOKUP(B67,RemitTable2,9,FALSE),0)+Y67+Z67</f>
        <v/>
      </c>
      <c r="AB67" s="303" t="n">
        <v>1</v>
      </c>
      <c r="AC67" s="302">
        <f>ROUND(AA67/AB67,0)</f>
        <v/>
      </c>
      <c r="AD67" s="296" t="inlineStr">
        <is>
          <t>2026-04</t>
        </is>
      </c>
      <c r="AE67" s="299" t="inlineStr">
        <is>
          <t>2026-04-01</t>
        </is>
      </c>
      <c r="AF67" s="298" t="inlineStr">
        <is>
          <t>2027-03-31</t>
        </is>
      </c>
    </row>
    <row r="68" ht="15.75" customHeight="1">
      <c r="A68" s="304" t="n">
        <v>64</v>
      </c>
      <c r="B68" s="304" t="inlineStr">
        <is>
          <t>CPO697</t>
        </is>
      </c>
      <c r="C68" s="304" t="inlineStr">
        <is>
          <t>Christie</t>
        </is>
      </c>
      <c r="D68" s="304" t="inlineStr">
        <is>
          <t>Net 45 days</t>
        </is>
      </c>
      <c r="E68" s="304" t="inlineStr">
        <is>
          <t>워런티(EW)</t>
        </is>
      </c>
      <c r="F68" s="305" t="n">
        <v>46136</v>
      </c>
      <c r="G68" s="305" t="n">
        <v>46171</v>
      </c>
      <c r="H68" s="306" t="n">
        <v>15289</v>
      </c>
      <c r="I68" s="307" t="n">
        <v>1502.7</v>
      </c>
      <c r="J68" s="308" t="n">
        <v>22974780</v>
      </c>
      <c r="K68" s="308" t="n">
        <v>22974780</v>
      </c>
      <c r="L68" s="308" t="n">
        <v>1880</v>
      </c>
      <c r="M68" s="308" t="n">
        <v>1203</v>
      </c>
      <c r="N68" s="304" t="inlineStr">
        <is>
          <t>EW CP4425/CP2308/CP2315/CP2309/CP2320 13대 (메가박스 북대구 외)</t>
        </is>
      </c>
      <c r="O68" s="305" t="inlineStr">
        <is>
          <t>-</t>
        </is>
      </c>
      <c r="P68" s="304" t="inlineStr">
        <is>
          <t>-</t>
        </is>
      </c>
      <c r="Q68" s="306">
        <f>IF(P68="","",IFERROR(VLOOKUP(O68,FxRateTable,4,TRUE),""))</f>
        <v/>
      </c>
      <c r="R68" s="306">
        <f>IF(P68="","",H68)</f>
        <v/>
      </c>
      <c r="S68" s="308" t="n">
        <v>0</v>
      </c>
      <c r="T68" s="308" t="n">
        <v>0</v>
      </c>
      <c r="U68" s="305" t="n"/>
      <c r="V68" s="304" t="inlineStr">
        <is>
          <t>-</t>
        </is>
      </c>
      <c r="W68" s="308" t="n">
        <v>0</v>
      </c>
      <c r="X68" s="304" t="inlineStr">
        <is>
          <t>-</t>
        </is>
      </c>
      <c r="Y68" s="308" t="n">
        <v>0</v>
      </c>
      <c r="Z68" s="308">
        <f>S68+W68</f>
        <v/>
      </c>
      <c r="AA68" s="308">
        <f>K68+L68+M68+IFERROR(VLOOKUP(B68,RemitTable2,9,FALSE),0)+Y68+Z68</f>
        <v/>
      </c>
      <c r="AB68" s="309" t="n">
        <v>1</v>
      </c>
      <c r="AC68" s="308">
        <f>ROUND(AA68/AB68,0)</f>
        <v/>
      </c>
      <c r="AD68" s="304" t="inlineStr">
        <is>
          <t>2026-04</t>
        </is>
      </c>
      <c r="AE68" s="305" t="n">
        <v>46168</v>
      </c>
      <c r="AF68" s="305" t="n">
        <v>46532</v>
      </c>
    </row>
    <row r="69" ht="15.75" customHeight="1">
      <c r="A69" s="304" t="n">
        <v>65</v>
      </c>
      <c r="B69" s="304" t="inlineStr">
        <is>
          <t>CPO693-2</t>
        </is>
      </c>
      <c r="C69" s="304" t="inlineStr">
        <is>
          <t>Christie</t>
        </is>
      </c>
      <c r="D69" s="304" t="inlineStr">
        <is>
          <t>Net 45 days</t>
        </is>
      </c>
      <c r="E69" s="304" t="inlineStr">
        <is>
          <t>워런티(EW)</t>
        </is>
      </c>
      <c r="F69" s="305" t="n">
        <v>46133</v>
      </c>
      <c r="G69" s="305" t="inlineStr">
        <is>
          <t>-</t>
        </is>
      </c>
      <c r="H69" s="306" t="n">
        <v>2550</v>
      </c>
      <c r="I69" s="307">
        <f>IFERROR(VLOOKUP(B69,RemitTable2,7,FALSE),0)</f>
        <v/>
      </c>
      <c r="J69" s="308" t="n">
        <v>0</v>
      </c>
      <c r="K69" s="308">
        <f>IFERROR(ROUND(H69*I69,0),0)</f>
        <v/>
      </c>
      <c r="L69" s="308">
        <f>IFERROR(VLOOKUP(B69,RemitTable2,10,FALSE),0)</f>
        <v/>
      </c>
      <c r="M69" s="308">
        <f>IFERROR(VLOOKUP(B69,RemitTable2,11,FALSE),0)</f>
        <v/>
      </c>
      <c r="N69" s="304" t="inlineStr">
        <is>
          <t>CP4420-RGB 2년 워런티 (CGV 구미)</t>
        </is>
      </c>
      <c r="O69" s="305" t="inlineStr">
        <is>
          <t>-</t>
        </is>
      </c>
      <c r="P69" s="304" t="inlineStr">
        <is>
          <t>-</t>
        </is>
      </c>
      <c r="Q69" s="306">
        <f>IF(P69="","",IFERROR(VLOOKUP(O69,FxRateTable,4,TRUE),""))</f>
        <v/>
      </c>
      <c r="R69" s="306">
        <f>IF(P69="","",H69)</f>
        <v/>
      </c>
      <c r="S69" s="308" t="n">
        <v>0</v>
      </c>
      <c r="T69" s="308" t="n">
        <v>0</v>
      </c>
      <c r="U69" s="305" t="n"/>
      <c r="V69" s="304" t="inlineStr">
        <is>
          <t>-</t>
        </is>
      </c>
      <c r="W69" s="308" t="n">
        <v>0</v>
      </c>
      <c r="X69" s="304" t="inlineStr">
        <is>
          <t>-</t>
        </is>
      </c>
      <c r="Y69" s="308" t="n">
        <v>0</v>
      </c>
      <c r="Z69" s="308">
        <f>S69+W69</f>
        <v/>
      </c>
      <c r="AA69" s="308">
        <f>K69+L69+M69+IFERROR(VLOOKUP(B69,RemitTable2,9,FALSE),0)+Y69+Z69</f>
        <v/>
      </c>
      <c r="AB69" s="309" t="n">
        <v>1</v>
      </c>
      <c r="AC69" s="308">
        <f>ROUND(AA69/AB69,0)</f>
        <v/>
      </c>
      <c r="AD69" s="304" t="inlineStr">
        <is>
          <t>2026-04</t>
        </is>
      </c>
      <c r="AE69" s="305" t="n">
        <v>46142</v>
      </c>
      <c r="AF69" s="305" t="n">
        <v>46872</v>
      </c>
    </row>
    <row r="70" ht="15.75" customHeight="1">
      <c r="A70" s="132" t="n">
        <v>66</v>
      </c>
      <c r="B70" s="132" t="inlineStr">
        <is>
          <t>GPO478</t>
        </is>
      </c>
      <c r="C70" s="132" t="inlineStr">
        <is>
          <t>GDC</t>
        </is>
      </c>
      <c r="D70" s="132" t="inlineStr">
        <is>
          <t>Net 30 days</t>
        </is>
      </c>
      <c r="E70" s="132" t="inlineStr">
        <is>
          <t>라이센스</t>
        </is>
      </c>
      <c r="F70" s="188" t="n">
        <v>46127</v>
      </c>
      <c r="G70" s="188" t="n">
        <v>46161</v>
      </c>
      <c r="H70" s="134" t="n">
        <v>180</v>
      </c>
      <c r="I70" s="311" t="n">
        <v>1518.9</v>
      </c>
      <c r="J70" s="136" t="n">
        <v>273402</v>
      </c>
      <c r="K70" s="136" t="n">
        <v>273402</v>
      </c>
      <c r="L70" s="136" t="n">
        <v>2500</v>
      </c>
      <c r="M70" s="136" t="n">
        <v>8000</v>
      </c>
      <c r="N70" s="137" t="n"/>
      <c r="O70" s="189" t="n"/>
      <c r="P70" s="137" t="n"/>
      <c r="Q70" s="134">
        <f>IF(P70="","",IFERROR(VLOOKUP(O70,FxRateTable,4,TRUE),""))</f>
        <v/>
      </c>
      <c r="R70" s="134">
        <f>IF(P70="","",H70)</f>
        <v/>
      </c>
      <c r="S70" s="136" t="n">
        <v>0</v>
      </c>
      <c r="T70" s="136" t="n">
        <v>0</v>
      </c>
      <c r="U70" s="188" t="n"/>
      <c r="V70" s="137" t="n"/>
      <c r="W70" s="136" t="n">
        <v>0</v>
      </c>
      <c r="X70" s="132" t="inlineStr">
        <is>
          <t>-</t>
        </is>
      </c>
      <c r="Y70" s="136" t="n">
        <v>0</v>
      </c>
      <c r="Z70" s="136">
        <f>S70+W70</f>
        <v/>
      </c>
      <c r="AA70" s="136">
        <f>K70+L70+M70+IFERROR(VLOOKUP(B70,RemitTable2,9,FALSE),0)+Y70+Z70</f>
        <v/>
      </c>
      <c r="AB70" s="168" t="n">
        <v>2</v>
      </c>
      <c r="AC70" s="136">
        <f>ROUND(AA70/AB70,0)</f>
        <v/>
      </c>
      <c r="AD70" s="132" t="inlineStr">
        <is>
          <t>2026-05</t>
        </is>
      </c>
      <c r="AE70" s="188" t="n">
        <v>46143</v>
      </c>
      <c r="AF70" s="188" t="n">
        <v>46507</v>
      </c>
    </row>
    <row r="71" ht="15.75" customHeight="1">
      <c r="A71" s="132" t="n">
        <v>67</v>
      </c>
      <c r="B71" s="132" t="inlineStr">
        <is>
          <t>GPO480</t>
        </is>
      </c>
      <c r="C71" s="132" t="inlineStr">
        <is>
          <t>GDC</t>
        </is>
      </c>
      <c r="D71" s="132" t="inlineStr">
        <is>
          <t>Net 30 days</t>
        </is>
      </c>
      <c r="E71" s="132" t="inlineStr">
        <is>
          <t>라이센스</t>
        </is>
      </c>
      <c r="F71" s="188" t="n">
        <v>46137</v>
      </c>
      <c r="G71" s="188" t="n">
        <v>46171</v>
      </c>
      <c r="H71" s="134" t="n">
        <v>250</v>
      </c>
      <c r="I71" s="311" t="n">
        <v>1502.8</v>
      </c>
      <c r="J71" s="136" t="n">
        <v>375700</v>
      </c>
      <c r="K71" s="136" t="n">
        <v>375700</v>
      </c>
      <c r="L71" s="136" t="n">
        <v>32</v>
      </c>
      <c r="M71" s="136" t="n">
        <v>20</v>
      </c>
      <c r="N71" s="137" t="n"/>
      <c r="O71" s="189" t="n"/>
      <c r="P71" s="137" t="n"/>
      <c r="Q71" s="134">
        <f>IF(P71="","",IFERROR(VLOOKUP(O71,FxRateTable,4,TRUE),""))</f>
        <v/>
      </c>
      <c r="R71" s="134">
        <f>IF(P71="","",H71)</f>
        <v/>
      </c>
      <c r="S71" s="136" t="n">
        <v>0</v>
      </c>
      <c r="T71" s="136" t="n">
        <v>0</v>
      </c>
      <c r="U71" s="188" t="n"/>
      <c r="V71" s="137" t="n"/>
      <c r="W71" s="136" t="n">
        <v>0</v>
      </c>
      <c r="X71" s="132" t="inlineStr">
        <is>
          <t>-</t>
        </is>
      </c>
      <c r="Y71" s="136" t="n">
        <v>0</v>
      </c>
      <c r="Z71" s="136">
        <f>S71+W71</f>
        <v/>
      </c>
      <c r="AA71" s="136">
        <f>K71+L71+M71+IFERROR(VLOOKUP(B71,RemitTable2,9,FALSE),0)+Y71+Z71</f>
        <v/>
      </c>
      <c r="AB71" s="168" t="n">
        <v>1</v>
      </c>
      <c r="AC71" s="136">
        <f>ROUND(AA71/AB71,0)</f>
        <v/>
      </c>
      <c r="AD71" s="132" t="inlineStr">
        <is>
          <t>2026-05</t>
        </is>
      </c>
      <c r="AE71" s="188" t="n">
        <v>46143</v>
      </c>
      <c r="AF71" s="188" t="n">
        <v>49795</v>
      </c>
    </row>
    <row r="72" ht="15.75" customHeight="1">
      <c r="A72" s="132" t="n">
        <v>68</v>
      </c>
      <c r="B72" s="132" t="inlineStr">
        <is>
          <t>GPO481</t>
        </is>
      </c>
      <c r="C72" s="132" t="inlineStr">
        <is>
          <t>GDC</t>
        </is>
      </c>
      <c r="D72" s="132" t="inlineStr">
        <is>
          <t>Net 30 days</t>
        </is>
      </c>
      <c r="E72" s="132" t="inlineStr">
        <is>
          <t>라이센스</t>
        </is>
      </c>
      <c r="F72" s="188" t="n">
        <v>46152</v>
      </c>
      <c r="G72" s="188" t="n">
        <v>46183</v>
      </c>
      <c r="H72" s="134" t="n">
        <v>500</v>
      </c>
      <c r="I72" s="311" t="n">
        <v>1525.3</v>
      </c>
      <c r="J72" s="136" t="n">
        <v>762650</v>
      </c>
      <c r="K72" s="136" t="n">
        <v>762650</v>
      </c>
      <c r="L72" s="136" t="n">
        <v>52</v>
      </c>
      <c r="M72" s="136" t="n">
        <v>34</v>
      </c>
      <c r="N72" s="137" t="n"/>
      <c r="O72" s="189" t="n"/>
      <c r="P72" s="137" t="n"/>
      <c r="Q72" s="134">
        <f>IF(P72="","",IFERROR(VLOOKUP(O72,FxRateTable,4,TRUE),""))</f>
        <v/>
      </c>
      <c r="R72" s="134">
        <f>IF(P72="","",H72)</f>
        <v/>
      </c>
      <c r="S72" s="136" t="n">
        <v>0</v>
      </c>
      <c r="T72" s="136" t="n">
        <v>0</v>
      </c>
      <c r="U72" s="188" t="n"/>
      <c r="V72" s="137" t="n"/>
      <c r="W72" s="136" t="n">
        <v>0</v>
      </c>
      <c r="X72" s="132" t="inlineStr">
        <is>
          <t>-</t>
        </is>
      </c>
      <c r="Y72" s="136" t="n">
        <v>0</v>
      </c>
      <c r="Z72" s="136">
        <f>S72+W72</f>
        <v/>
      </c>
      <c r="AA72" s="136">
        <f>K72+L72+M72+IFERROR(VLOOKUP(B72,RemitTable2,9,FALSE),0)+Y72+Z72</f>
        <v/>
      </c>
      <c r="AB72" s="168" t="n">
        <v>1</v>
      </c>
      <c r="AC72" s="136">
        <f>ROUND(AA72/AB72,0)</f>
        <v/>
      </c>
      <c r="AD72" s="132" t="inlineStr">
        <is>
          <t>2026-06</t>
        </is>
      </c>
      <c r="AE72" s="188" t="inlineStr">
        <is>
          <t>-</t>
        </is>
      </c>
      <c r="AF72" s="188" t="inlineStr">
        <is>
          <t>-</t>
        </is>
      </c>
    </row>
    <row r="73" ht="15.75" customHeight="1">
      <c r="A73" s="132" t="n">
        <v>69</v>
      </c>
      <c r="B73" s="132" t="inlineStr">
        <is>
          <t>GPO475</t>
        </is>
      </c>
      <c r="C73" s="132" t="inlineStr">
        <is>
          <t>GDC</t>
        </is>
      </c>
      <c r="D73" s="132" t="inlineStr">
        <is>
          <t>Net 30 days</t>
        </is>
      </c>
      <c r="E73" s="132" t="inlineStr">
        <is>
          <t>라이센스</t>
        </is>
      </c>
      <c r="F73" s="188" t="n">
        <v>46127</v>
      </c>
      <c r="G73" s="188" t="n">
        <v>46190</v>
      </c>
      <c r="H73" s="134" t="n">
        <v>540</v>
      </c>
      <c r="I73" s="311" t="n">
        <v>1516.8</v>
      </c>
      <c r="J73" s="136" t="n">
        <v>819072</v>
      </c>
      <c r="K73" s="136" t="n">
        <v>819072</v>
      </c>
      <c r="L73" s="136" t="n">
        <v>1985</v>
      </c>
      <c r="M73" s="136" t="n">
        <v>2118</v>
      </c>
      <c r="N73" s="132" t="inlineStr">
        <is>
          <t>TMS-1000 License 6 screens (CGV 안동)</t>
        </is>
      </c>
      <c r="O73" s="189" t="n"/>
      <c r="P73" s="137" t="n"/>
      <c r="Q73" s="134">
        <f>IF(P73="","",IFERROR(VLOOKUP(O73,FxRateTable,4,TRUE),""))</f>
        <v/>
      </c>
      <c r="R73" s="134">
        <f>IF(P73="","",H73)</f>
        <v/>
      </c>
      <c r="S73" s="136" t="n">
        <v>0</v>
      </c>
      <c r="T73" s="136" t="n">
        <v>0</v>
      </c>
      <c r="U73" s="188" t="n"/>
      <c r="V73" s="137" t="n"/>
      <c r="W73" s="136" t="n">
        <v>0</v>
      </c>
      <c r="X73" s="132" t="inlineStr">
        <is>
          <t>-</t>
        </is>
      </c>
      <c r="Y73" s="136" t="n">
        <v>0</v>
      </c>
      <c r="Z73" s="136">
        <f>S73+W73</f>
        <v/>
      </c>
      <c r="AA73" s="136">
        <f>K73+L73+M73+IFERROR(VLOOKUP(B73,RemitTable2,9,FALSE),0)+Y73+Z73</f>
        <v/>
      </c>
      <c r="AB73" s="168" t="n">
        <v>6</v>
      </c>
      <c r="AC73" s="136">
        <f>ROUND(AA73/AB73,0)</f>
        <v/>
      </c>
      <c r="AD73" s="132" t="inlineStr">
        <is>
          <t>2026-05</t>
        </is>
      </c>
      <c r="AE73" s="188" t="n">
        <v>46143</v>
      </c>
      <c r="AF73" s="188" t="n">
        <v>46507</v>
      </c>
    </row>
    <row r="74" ht="15.75" customHeight="1">
      <c r="A74" s="132" t="n">
        <v>70</v>
      </c>
      <c r="B74" s="132" t="inlineStr">
        <is>
          <t>CPO702</t>
        </is>
      </c>
      <c r="C74" s="132" t="inlineStr">
        <is>
          <t>Christie</t>
        </is>
      </c>
      <c r="D74" s="132" t="inlineStr">
        <is>
          <t>Net 45 days</t>
        </is>
      </c>
      <c r="E74" s="132" t="inlineStr">
        <is>
          <t>워런티(EW)</t>
        </is>
      </c>
      <c r="F74" s="188" t="n">
        <v>46181</v>
      </c>
      <c r="G74" s="188" t="n">
        <v>46241</v>
      </c>
      <c r="H74" s="134" t="n">
        <v>32715</v>
      </c>
      <c r="I74" s="311" t="n">
        <v>1429.8</v>
      </c>
      <c r="J74" s="136" t="n">
        <v>46775907</v>
      </c>
      <c r="K74" s="136" t="n">
        <v>46775907</v>
      </c>
      <c r="L74" s="136" t="n">
        <v>12088</v>
      </c>
      <c r="M74" s="136" t="n">
        <v>7737</v>
      </c>
      <c r="N74" s="132" t="inlineStr">
        <is>
          <t>EW CP2215/CP2309-RGB 25대 (롯데 영천/CineQ 청라/CGV 동두천 외)</t>
        </is>
      </c>
      <c r="O74" s="189" t="n"/>
      <c r="P74" s="137" t="n"/>
      <c r="Q74" s="134">
        <f>IF(P74="","",IFERROR(VLOOKUP(O74,FxRateTable,4,TRUE),""))</f>
        <v/>
      </c>
      <c r="R74" s="134">
        <f>IF(P74="","",H74)</f>
        <v/>
      </c>
      <c r="S74" s="136" t="n">
        <v>0</v>
      </c>
      <c r="T74" s="136" t="n">
        <v>0</v>
      </c>
      <c r="U74" s="188" t="n"/>
      <c r="V74" s="132" t="inlineStr">
        <is>
          <t>-</t>
        </is>
      </c>
      <c r="W74" s="136" t="n">
        <v>0</v>
      </c>
      <c r="X74" s="132" t="inlineStr">
        <is>
          <t>-</t>
        </is>
      </c>
      <c r="Y74" s="136" t="n">
        <v>0</v>
      </c>
      <c r="Z74" s="136">
        <f>S74+W74</f>
        <v/>
      </c>
      <c r="AA74" s="136">
        <f>K74+L74+M74+IFERROR(VLOOKUP(B74,RemitTable2,9,FALSE),0)+Y74+Z74</f>
        <v/>
      </c>
      <c r="AB74" s="168" t="n">
        <v>25</v>
      </c>
      <c r="AC74" s="136">
        <f>ROUND(AA74/AB74,0)</f>
        <v/>
      </c>
      <c r="AD74" s="132" t="inlineStr">
        <is>
          <t>2026-06</t>
        </is>
      </c>
      <c r="AE74" s="188" t="n">
        <v>46192</v>
      </c>
      <c r="AF74" s="188" t="n">
        <v>46752</v>
      </c>
    </row>
    <row r="75" ht="15.75" customHeight="1">
      <c r="A75" s="132" t="n">
        <v>71</v>
      </c>
      <c r="B75" s="132" t="inlineStr">
        <is>
          <t>GPO486</t>
        </is>
      </c>
      <c r="C75" s="132" t="inlineStr">
        <is>
          <t>GDC</t>
        </is>
      </c>
      <c r="D75" s="132" t="inlineStr">
        <is>
          <t>Net 30 days</t>
        </is>
      </c>
      <c r="E75" s="132" t="inlineStr">
        <is>
          <t>라이센스</t>
        </is>
      </c>
      <c r="F75" s="188" t="n">
        <v>46182</v>
      </c>
      <c r="G75" s="188" t="inlineStr">
        <is>
          <t>-</t>
        </is>
      </c>
      <c r="H75" s="134" t="n">
        <v>450</v>
      </c>
      <c r="I75" s="311" t="n">
        <v>0</v>
      </c>
      <c r="J75" s="136" t="n">
        <v>0</v>
      </c>
      <c r="K75" s="136" t="n">
        <v>0</v>
      </c>
      <c r="L75" s="136" t="n">
        <v>0</v>
      </c>
      <c r="M75" s="136" t="n">
        <v>0</v>
      </c>
      <c r="N75" s="132" t="inlineStr">
        <is>
          <t>TMS-1000 License Extension 5screens (메가박스 경산 하양)</t>
        </is>
      </c>
      <c r="O75" s="189" t="n"/>
      <c r="P75" s="137" t="n"/>
      <c r="Q75" s="134">
        <f>IF(P75="","",IFERROR(VLOOKUP(O75,FxRateTable,4,TRUE),""))</f>
        <v/>
      </c>
      <c r="R75" s="134">
        <f>IF(P75="","",H75)</f>
        <v/>
      </c>
      <c r="S75" s="136" t="n">
        <v>0</v>
      </c>
      <c r="T75" s="136" t="n">
        <v>0</v>
      </c>
      <c r="U75" s="188" t="n"/>
      <c r="V75" s="132" t="inlineStr">
        <is>
          <t>-</t>
        </is>
      </c>
      <c r="W75" s="136" t="n">
        <v>0</v>
      </c>
      <c r="X75" s="132" t="inlineStr">
        <is>
          <t>-</t>
        </is>
      </c>
      <c r="Y75" s="136" t="n">
        <v>0</v>
      </c>
      <c r="Z75" s="136">
        <f>S75+W75</f>
        <v/>
      </c>
      <c r="AA75" s="136">
        <f>K75+L75+M75+IFERROR(VLOOKUP(B75,RemitTable2,9,FALSE),0)+Y75+Z75</f>
        <v/>
      </c>
      <c r="AB75" s="168" t="n">
        <v>5</v>
      </c>
      <c r="AC75" s="136">
        <f>ROUND(AA75/AB75,0)</f>
        <v/>
      </c>
      <c r="AD75" s="132" t="inlineStr">
        <is>
          <t>2026-07</t>
        </is>
      </c>
      <c r="AE75" s="188" t="n">
        <v>46204</v>
      </c>
      <c r="AF75" s="188" t="n">
        <v>46568</v>
      </c>
    </row>
    <row r="76" ht="15.75" customHeight="1">
      <c r="A76" s="132" t="n">
        <v>72</v>
      </c>
      <c r="B76" s="132" t="inlineStr">
        <is>
          <t>GPO484</t>
        </is>
      </c>
      <c r="C76" s="132" t="inlineStr">
        <is>
          <t>GDC</t>
        </is>
      </c>
      <c r="D76" s="132" t="inlineStr">
        <is>
          <t>Net 30 days</t>
        </is>
      </c>
      <c r="E76" s="132" t="inlineStr">
        <is>
          <t>워런티(EW)</t>
        </is>
      </c>
      <c r="F76" s="188" t="n">
        <v>46183</v>
      </c>
      <c r="G76" s="188" t="inlineStr">
        <is>
          <t>-</t>
        </is>
      </c>
      <c r="H76" s="134" t="n">
        <v>7407.81</v>
      </c>
      <c r="I76" s="311" t="n">
        <v>0</v>
      </c>
      <c r="J76" s="136" t="n">
        <v>0</v>
      </c>
      <c r="K76" s="136" t="n">
        <v>0</v>
      </c>
      <c r="L76" s="136" t="n">
        <v>0</v>
      </c>
      <c r="M76" s="136" t="n">
        <v>0</v>
      </c>
      <c r="N76" s="132" t="inlineStr">
        <is>
          <t>SR-1000/SX-4000 Warranty Ext 11대 (CGV 진주혁신/합천/구례)</t>
        </is>
      </c>
      <c r="O76" s="189" t="n"/>
      <c r="P76" s="137" t="n"/>
      <c r="Q76" s="134">
        <f>IF(P76="","",IFERROR(VLOOKUP(O76,FxRateTable,4,TRUE),""))</f>
        <v/>
      </c>
      <c r="R76" s="134">
        <f>IF(P76="","",H76)</f>
        <v/>
      </c>
      <c r="S76" s="136" t="n">
        <v>0</v>
      </c>
      <c r="T76" s="136" t="n">
        <v>0</v>
      </c>
      <c r="U76" s="188" t="n"/>
      <c r="V76" s="132" t="inlineStr">
        <is>
          <t>-</t>
        </is>
      </c>
      <c r="W76" s="136" t="n">
        <v>0</v>
      </c>
      <c r="X76" s="132" t="inlineStr">
        <is>
          <t>-</t>
        </is>
      </c>
      <c r="Y76" s="136" t="n">
        <v>0</v>
      </c>
      <c r="Z76" s="136">
        <f>S76+W76</f>
        <v/>
      </c>
      <c r="AA76" s="136">
        <f>K76+L76+M76+IFERROR(VLOOKUP(B76,RemitTable2,9,FALSE),0)+Y76+Z76</f>
        <v/>
      </c>
      <c r="AB76" s="168" t="n">
        <v>11</v>
      </c>
      <c r="AC76" s="136">
        <f>ROUND(AA76/AB76,0)</f>
        <v/>
      </c>
      <c r="AD76" s="132" t="inlineStr">
        <is>
          <t>2026-05</t>
        </is>
      </c>
      <c r="AE76" s="188" t="n">
        <v>46156</v>
      </c>
      <c r="AF76" s="188" t="n">
        <v>46752</v>
      </c>
    </row>
    <row r="77" ht="15.75" customHeight="1">
      <c r="A77" s="132" t="n">
        <v>73</v>
      </c>
      <c r="B77" s="132" t="inlineStr">
        <is>
          <t>GPO489</t>
        </is>
      </c>
      <c r="C77" s="132" t="inlineStr">
        <is>
          <t>GDC</t>
        </is>
      </c>
      <c r="D77" s="132" t="inlineStr">
        <is>
          <t>Net 30 days</t>
        </is>
      </c>
      <c r="E77" s="132" t="inlineStr">
        <is>
          <t>라이센스</t>
        </is>
      </c>
      <c r="F77" s="188" t="n">
        <v>46196</v>
      </c>
      <c r="G77" s="188" t="inlineStr">
        <is>
          <t>-</t>
        </is>
      </c>
      <c r="H77" s="134" t="n">
        <v>3320</v>
      </c>
      <c r="I77" s="311" t="n">
        <v>0</v>
      </c>
      <c r="J77" s="136" t="n">
        <v>0</v>
      </c>
      <c r="K77" s="136" t="n">
        <v>0</v>
      </c>
      <c r="L77" s="136" t="n">
        <v>0</v>
      </c>
      <c r="M77" s="136" t="n">
        <v>0</v>
      </c>
      <c r="N77" s="132" t="inlineStr">
        <is>
          <t>TMS License 7사이트 32screens (메가박스 삼천포/CGV 대구수성 외)</t>
        </is>
      </c>
      <c r="O77" s="189" t="n"/>
      <c r="P77" s="137" t="n"/>
      <c r="Q77" s="134">
        <f>IF(P77="","",IFERROR(VLOOKUP(O77,FxRateTable,4,TRUE),""))</f>
        <v/>
      </c>
      <c r="R77" s="134">
        <f>IF(P77="","",H77)</f>
        <v/>
      </c>
      <c r="S77" s="136" t="n">
        <v>0</v>
      </c>
      <c r="T77" s="136" t="n">
        <v>0</v>
      </c>
      <c r="U77" s="188" t="n"/>
      <c r="V77" s="132" t="inlineStr">
        <is>
          <t>-</t>
        </is>
      </c>
      <c r="W77" s="136" t="n">
        <v>0</v>
      </c>
      <c r="X77" s="132" t="inlineStr">
        <is>
          <t>-</t>
        </is>
      </c>
      <c r="Y77" s="136" t="n">
        <v>0</v>
      </c>
      <c r="Z77" s="136">
        <f>S77+W77</f>
        <v/>
      </c>
      <c r="AA77" s="136">
        <f>K77+L77+M77+IFERROR(VLOOKUP(B77,RemitTable2,9,FALSE),0)+Y77+Z77</f>
        <v/>
      </c>
      <c r="AB77" s="168" t="n">
        <v>32</v>
      </c>
      <c r="AC77" s="136">
        <f>ROUND(AA77/AB77,0)</f>
        <v/>
      </c>
      <c r="AD77" s="132" t="inlineStr">
        <is>
          <t>2026-07</t>
        </is>
      </c>
      <c r="AE77" s="188" t="n">
        <v>46204</v>
      </c>
      <c r="AF77" s="188" t="n">
        <v>46568</v>
      </c>
    </row>
    <row r="78" ht="15.75" customHeight="1">
      <c r="A78" s="132" t="n">
        <v>74</v>
      </c>
      <c r="B78" s="132" t="inlineStr">
        <is>
          <t>GPO487</t>
        </is>
      </c>
      <c r="C78" s="132" t="inlineStr">
        <is>
          <t>GDC</t>
        </is>
      </c>
      <c r="D78" s="132" t="inlineStr">
        <is>
          <t>Net 30 days</t>
        </is>
      </c>
      <c r="E78" s="132" t="inlineStr">
        <is>
          <t>워런티(EW)</t>
        </is>
      </c>
      <c r="F78" s="188" t="inlineStr">
        <is>
          <t>-</t>
        </is>
      </c>
      <c r="G78" s="188" t="inlineStr">
        <is>
          <t>-</t>
        </is>
      </c>
      <c r="H78" s="134" t="n">
        <v>5309</v>
      </c>
      <c r="I78" s="311">
        <f>IFERROR(VLOOKUP(B78,RemitTable2,7,FALSE),0)</f>
        <v/>
      </c>
      <c r="J78" s="136" t="n">
        <v>0</v>
      </c>
      <c r="K78" s="136">
        <f>IFERROR(ROUND(H78*I78,0),0)</f>
        <v/>
      </c>
      <c r="L78" s="136">
        <f>IFERROR(VLOOKUP(B78,RemitTable2,10,FALSE),0)</f>
        <v/>
      </c>
      <c r="M78" s="136">
        <f>IFERROR(VLOOKUP(B78,RemitTable2,11,FALSE),0)</f>
        <v/>
      </c>
      <c r="N78" s="132" t="inlineStr">
        <is>
          <t>SX-3000 EW 133대 (롯데, gross 33,309 차감 보상판매 Credit 28,000)</t>
        </is>
      </c>
      <c r="O78" s="189" t="inlineStr">
        <is>
          <t>-</t>
        </is>
      </c>
      <c r="P78" s="137" t="inlineStr">
        <is>
          <t>-</t>
        </is>
      </c>
      <c r="Q78" s="134">
        <f>IF(P78="","",IFERROR(VLOOKUP(O78,FxRateTable,4,TRUE),""))</f>
        <v/>
      </c>
      <c r="R78" s="134">
        <f>IF(P78="","",H78)</f>
        <v/>
      </c>
      <c r="S78" s="136" t="n">
        <v>0</v>
      </c>
      <c r="T78" s="136" t="n">
        <v>0</v>
      </c>
      <c r="U78" s="188" t="n"/>
      <c r="V78" s="132" t="inlineStr">
        <is>
          <t>-</t>
        </is>
      </c>
      <c r="W78" s="136" t="n">
        <v>0</v>
      </c>
      <c r="X78" s="132" t="inlineStr">
        <is>
          <t>-</t>
        </is>
      </c>
      <c r="Y78" s="136" t="n">
        <v>0</v>
      </c>
      <c r="Z78" s="136">
        <f>S78+W78</f>
        <v/>
      </c>
      <c r="AA78" s="136">
        <f>K78+L78+M78+IFERROR(VLOOKUP(B78,RemitTable2,9,FALSE),0)+Y78+Z78</f>
        <v/>
      </c>
      <c r="AB78" s="168" t="n">
        <v>133</v>
      </c>
      <c r="AC78" s="136">
        <f>ROUND(AA78/AB78,0)</f>
        <v/>
      </c>
      <c r="AD78" s="132" t="inlineStr">
        <is>
          <t>2026-07</t>
        </is>
      </c>
      <c r="AE78" s="188" t="n">
        <v>46204</v>
      </c>
      <c r="AF78" s="188" t="n">
        <v>46387</v>
      </c>
    </row>
    <row r="79" ht="15.75" customHeight="1">
      <c r="A79" s="132" t="n">
        <v>75</v>
      </c>
      <c r="B79" s="132" t="inlineStr">
        <is>
          <t>CPO700</t>
        </is>
      </c>
      <c r="C79" s="132" t="inlineStr">
        <is>
          <t>Christie</t>
        </is>
      </c>
      <c r="D79" s="132" t="inlineStr">
        <is>
          <t>Net 45 days</t>
        </is>
      </c>
      <c r="E79" s="132" t="inlineStr">
        <is>
          <t>워런티(EW)</t>
        </is>
      </c>
      <c r="F79" s="188" t="inlineStr">
        <is>
          <t>-</t>
        </is>
      </c>
      <c r="G79" s="188" t="n">
        <v>46241</v>
      </c>
      <c r="H79" s="134" t="n">
        <v>1114</v>
      </c>
      <c r="I79" s="311" t="n">
        <v>1429.8</v>
      </c>
      <c r="J79" s="136" t="n">
        <v>1592797</v>
      </c>
      <c r="K79" s="136" t="n">
        <v>1592797</v>
      </c>
      <c r="L79" s="136" t="n">
        <v>412</v>
      </c>
      <c r="M79" s="136" t="n">
        <v>263</v>
      </c>
      <c r="N79" s="132" t="inlineStr">
        <is>
          <t>EW Extended Warranty (Christie 인보이스 미수취, 대상/기간 미확인)</t>
        </is>
      </c>
      <c r="O79" s="189" t="n"/>
      <c r="P79" s="137" t="n"/>
      <c r="Q79" s="134">
        <f>IF(P79="","",IFERROR(VLOOKUP(O79,FxRateTable,4,TRUE),""))</f>
        <v/>
      </c>
      <c r="R79" s="134">
        <f>IF(P79="","",H79)</f>
        <v/>
      </c>
      <c r="S79" s="136" t="n">
        <v>0</v>
      </c>
      <c r="T79" s="136" t="n">
        <v>0</v>
      </c>
      <c r="U79" s="188" t="n"/>
      <c r="V79" s="132" t="inlineStr">
        <is>
          <t>-</t>
        </is>
      </c>
      <c r="W79" s="136" t="n">
        <v>0</v>
      </c>
      <c r="X79" s="132" t="inlineStr">
        <is>
          <t>-</t>
        </is>
      </c>
      <c r="Y79" s="136" t="n">
        <v>0</v>
      </c>
      <c r="Z79" s="136">
        <f>S79+W79</f>
        <v/>
      </c>
      <c r="AA79" s="136">
        <f>K79+L79+M79+IFERROR(VLOOKUP(B79,RemitTable2,9,FALSE),0)+Y79+Z79</f>
        <v/>
      </c>
      <c r="AB79" s="168" t="n">
        <v>1</v>
      </c>
      <c r="AC79" s="136">
        <f>ROUND(AA79/AB79,0)</f>
        <v/>
      </c>
      <c r="AD79" s="132" t="n"/>
      <c r="AE79" s="188" t="inlineStr">
        <is>
          <t>-</t>
        </is>
      </c>
      <c r="AF79" s="188" t="inlineStr">
        <is>
          <t>-</t>
        </is>
      </c>
    </row>
    <row r="80" ht="15.75" customHeight="1">
      <c r="A80" s="284" t="n">
        <v>76</v>
      </c>
      <c r="B80" s="284" t="inlineStr">
        <is>
          <t>CPO688</t>
        </is>
      </c>
      <c r="C80" s="285" t="inlineStr">
        <is>
          <t>Christie</t>
        </is>
      </c>
      <c r="D80" s="284" t="inlineStr">
        <is>
          <t>Net 45 days</t>
        </is>
      </c>
      <c r="E80" s="285" t="inlineStr">
        <is>
          <t>Inspection</t>
        </is>
      </c>
      <c r="F80" s="286" t="n">
        <v>46037</v>
      </c>
      <c r="G80" s="287" t="inlineStr">
        <is>
          <t>-</t>
        </is>
      </c>
      <c r="H80" s="288" t="n">
        <v>4180</v>
      </c>
      <c r="I80" s="289">
        <f>IFERROR(VLOOKUP(B80,RemitTable2,7,FALSE),0)</f>
        <v/>
      </c>
      <c r="J80" s="290" t="n">
        <v>0</v>
      </c>
      <c r="K80" s="290">
        <f>IFERROR(ROUND(H80*I80,0),0)</f>
        <v/>
      </c>
      <c r="L80" s="290">
        <f>IFERROR(VLOOKUP(B80,RemitTable2,10,FALSE),0)</f>
        <v/>
      </c>
      <c r="M80" s="290">
        <f>IFERROR(VLOOKUP(B80,RemitTable2,11,FALSE),0)</f>
        <v/>
      </c>
      <c r="N80" s="284" t="inlineStr">
        <is>
          <t>Inspection fee</t>
        </is>
      </c>
      <c r="O80" s="287" t="inlineStr">
        <is>
          <t>-</t>
        </is>
      </c>
      <c r="P80" s="284" t="inlineStr">
        <is>
          <t>-</t>
        </is>
      </c>
      <c r="Q80" s="288">
        <f>IF(P80="","",IFERROR(VLOOKUP(O80,FxRateTable,4,TRUE),""))</f>
        <v/>
      </c>
      <c r="R80" s="290">
        <f>IF(P80="","",H80)</f>
        <v/>
      </c>
      <c r="S80" s="290" t="n">
        <v>0</v>
      </c>
      <c r="T80" s="290" t="n">
        <v>0</v>
      </c>
      <c r="U80" s="286" t="n"/>
      <c r="V80" s="284" t="inlineStr">
        <is>
          <t>-</t>
        </is>
      </c>
      <c r="W80" s="290" t="n">
        <v>0</v>
      </c>
      <c r="X80" s="285" t="inlineStr">
        <is>
          <t>-</t>
        </is>
      </c>
      <c r="Y80" s="290" t="n">
        <v>0</v>
      </c>
      <c r="Z80" s="290">
        <f>S80+W80</f>
        <v/>
      </c>
      <c r="AA80" s="290">
        <f>K80+L80+M80+IFERROR(VLOOKUP(B80,RemitTable2,9,FALSE),0)+Y80+Z80</f>
        <v/>
      </c>
      <c r="AB80" s="291" t="n">
        <v>1</v>
      </c>
      <c r="AC80" s="290">
        <f>ROUND(AA80/AB80,0)</f>
        <v/>
      </c>
      <c r="AD80" s="284" t="inlineStr">
        <is>
          <t>2026-01</t>
        </is>
      </c>
      <c r="AE80" s="287" t="inlineStr">
        <is>
          <t>-</t>
        </is>
      </c>
      <c r="AF80" s="286" t="inlineStr">
        <is>
          <t>-</t>
        </is>
      </c>
    </row>
    <row r="81" ht="15.75" customHeight="1">
      <c r="A81" s="284" t="n">
        <v>77</v>
      </c>
      <c r="B81" s="284" t="inlineStr">
        <is>
          <t>SX3000수리</t>
        </is>
      </c>
      <c r="C81" s="285" t="inlineStr">
        <is>
          <t>GDC</t>
        </is>
      </c>
      <c r="D81" s="284" t="inlineStr">
        <is>
          <t>-</t>
        </is>
      </c>
      <c r="E81" s="285" t="inlineStr">
        <is>
          <t>수리반환</t>
        </is>
      </c>
      <c r="F81" s="286" t="n"/>
      <c r="G81" s="287" t="inlineStr">
        <is>
          <t>-</t>
        </is>
      </c>
      <c r="H81" s="288" t="n">
        <v>400</v>
      </c>
      <c r="I81" s="289">
        <f>IFERROR(VLOOKUP(B81,RemitTable2,7,FALSE),0)</f>
        <v/>
      </c>
      <c r="J81" s="290" t="n">
        <v>0</v>
      </c>
      <c r="K81" s="290">
        <f>IFERROR(ROUND(H81*I81,0),0)</f>
        <v/>
      </c>
      <c r="L81" s="290">
        <f>IFERROR(VLOOKUP(B81,RemitTable2,10,FALSE),0)</f>
        <v/>
      </c>
      <c r="M81" s="290">
        <f>IFERROR(VLOOKUP(B81,RemitTable2,11,FALSE),0)</f>
        <v/>
      </c>
      <c r="N81" s="284" t="inlineStr">
        <is>
          <t>Display Card (수리반환 5PCS)</t>
        </is>
      </c>
      <c r="O81" s="287" t="n">
        <v>46125</v>
      </c>
      <c r="P81" s="284" t="inlineStr">
        <is>
          <t>22356-26-351613M</t>
        </is>
      </c>
      <c r="Q81" s="288">
        <f>IF(P81="","",IFERROR(VLOOKUP(O81,FxRateTable,4,TRUE),""))</f>
        <v/>
      </c>
      <c r="R81" s="290">
        <f>IF(P81="","",H81)</f>
        <v/>
      </c>
      <c r="S81" s="290" t="n">
        <v>0</v>
      </c>
      <c r="T81" s="290" t="n">
        <v>67750</v>
      </c>
      <c r="U81" s="286" t="n"/>
      <c r="V81" s="284" t="inlineStr">
        <is>
          <t>운서합동</t>
        </is>
      </c>
      <c r="W81" s="290" t="n">
        <v>0</v>
      </c>
      <c r="X81" s="285" t="inlineStr">
        <is>
          <t>DHL</t>
        </is>
      </c>
      <c r="Y81" s="290" t="n">
        <v>216006</v>
      </c>
      <c r="Z81" s="290">
        <f>S81+W81</f>
        <v/>
      </c>
      <c r="AA81" s="290">
        <f>K81+L81+M81+IFERROR(VLOOKUP(B81,RemitTable2,9,FALSE),0)+Y81+Z81</f>
        <v/>
      </c>
      <c r="AB81" s="291" t="n">
        <v>5</v>
      </c>
      <c r="AC81" s="290">
        <f>ROUND(AA81/AB81,0)</f>
        <v/>
      </c>
      <c r="AD81" s="284" t="inlineStr">
        <is>
          <t>2026-04</t>
        </is>
      </c>
      <c r="AE81" s="287" t="n"/>
      <c r="AF81" s="286" t="n"/>
    </row>
    <row r="82" ht="15.75" customHeight="1">
      <c r="A82" s="216" t="n">
        <v>78</v>
      </c>
      <c r="B82" s="216" t="inlineStr">
        <is>
          <t>FRC-MONOPLEX26</t>
        </is>
      </c>
      <c r="C82" s="217" t="inlineStr">
        <is>
          <t>Ferco</t>
        </is>
      </c>
      <c r="D82" s="216" t="inlineStr">
        <is>
          <t>50% TT advance + 50% balance</t>
        </is>
      </c>
      <c r="E82" s="217" t="inlineStr">
        <is>
          <t>기타</t>
        </is>
      </c>
      <c r="F82" s="218" t="n">
        <v>46048</v>
      </c>
      <c r="G82" s="219" t="n">
        <v>46133</v>
      </c>
      <c r="H82" s="220" t="n">
        <v>51952</v>
      </c>
      <c r="I82" s="221">
        <f>IFERROR(VLOOKUP(B82,RemitTable2,7,FALSE),0)</f>
        <v/>
      </c>
      <c r="J82" s="222" t="n">
        <v>75818749</v>
      </c>
      <c r="K82" s="222" t="n">
        <v>75818749</v>
      </c>
      <c r="L82" s="222" t="n">
        <v>25000</v>
      </c>
      <c r="M82" s="222" t="n">
        <v>16000</v>
      </c>
      <c r="N82" s="216" t="inlineStr">
        <is>
          <t>Cinema Seat (Recliner) / 44 EA / Monoplex DH Bangbae</t>
        </is>
      </c>
      <c r="O82" s="219" t="n">
        <v>46153</v>
      </c>
      <c r="P82" s="216" t="inlineStr">
        <is>
          <t>14008-26-101147M</t>
        </is>
      </c>
      <c r="Q82" s="220">
        <f>IF(P82="","",IFERROR(VLOOKUP(O82,FxRateTable,4,TRUE),""))</f>
        <v/>
      </c>
      <c r="R82" s="220">
        <f>IF(P82="","",H82)</f>
        <v/>
      </c>
      <c r="S82" s="222" t="n">
        <v>31050</v>
      </c>
      <c r="T82" s="222" t="n">
        <v>7959560</v>
      </c>
      <c r="U82" s="218" t="n"/>
      <c r="V82" s="216" t="inlineStr">
        <is>
          <t>조운관세사무소</t>
        </is>
      </c>
      <c r="W82" s="222" t="n">
        <v>250000</v>
      </c>
      <c r="X82" s="217" t="inlineStr">
        <is>
          <t>진로직스</t>
        </is>
      </c>
      <c r="Y82" s="222" t="n">
        <v>5233502</v>
      </c>
      <c r="Z82" s="222">
        <f>S82+W82</f>
        <v/>
      </c>
      <c r="AA82" s="222">
        <f>K82+L82+M82+IFERROR(VLOOKUP(B82,RemitTable2,9,FALSE),0)+Y82+Z82</f>
        <v/>
      </c>
      <c r="AB82" s="223" t="n">
        <v>44</v>
      </c>
      <c r="AC82" s="222">
        <f>ROUND(AA82/AB82,0)</f>
        <v/>
      </c>
      <c r="AD82" s="216" t="inlineStr">
        <is>
          <t>2026-05</t>
        </is>
      </c>
      <c r="AE82" s="219" t="n"/>
      <c r="AF82" s="218" t="n"/>
    </row>
    <row r="83" ht="15.75" customHeight="1">
      <c r="A83" s="284" t="n">
        <v>79</v>
      </c>
      <c r="B83" s="284" t="inlineStr">
        <is>
          <t>GPO475-수리</t>
        </is>
      </c>
      <c r="C83" s="285" t="inlineStr">
        <is>
          <t>GDC</t>
        </is>
      </c>
      <c r="D83" s="284" t="inlineStr">
        <is>
          <t>Net 30 days</t>
        </is>
      </c>
      <c r="E83" s="285" t="inlineStr">
        <is>
          <t>수리</t>
        </is>
      </c>
      <c r="F83" s="286" t="n">
        <v>46126</v>
      </c>
      <c r="G83" s="287" t="n">
        <v>46190</v>
      </c>
      <c r="H83" s="288" t="n">
        <v>1500</v>
      </c>
      <c r="I83" s="289" t="n">
        <v>1516.8</v>
      </c>
      <c r="J83" s="290" t="n">
        <v>2275200</v>
      </c>
      <c r="K83" s="290" t="n">
        <v>2275200</v>
      </c>
      <c r="L83" s="290" t="n">
        <v>5515</v>
      </c>
      <c r="M83" s="290" t="n">
        <v>5882</v>
      </c>
      <c r="N83" s="284" t="inlineStr">
        <is>
          <t>SR-1000 IMB Inspection+Repair (SN A78267)</t>
        </is>
      </c>
      <c r="O83" s="287" t="n"/>
      <c r="P83" s="284" t="n"/>
      <c r="Q83" s="288">
        <f>IF(P83="","",IFERROR(VLOOKUP(O83,FxRateTable,4,TRUE),""))</f>
        <v/>
      </c>
      <c r="R83" s="290">
        <f>IF(P83="","",H83)</f>
        <v/>
      </c>
      <c r="S83" s="290" t="n">
        <v>0</v>
      </c>
      <c r="T83" s="290" t="n">
        <v>0</v>
      </c>
      <c r="U83" s="286" t="n"/>
      <c r="V83" s="284" t="n"/>
      <c r="W83" s="290" t="n">
        <v>0</v>
      </c>
      <c r="X83" s="285" t="inlineStr">
        <is>
          <t>-</t>
        </is>
      </c>
      <c r="Y83" s="290" t="n">
        <v>0</v>
      </c>
      <c r="Z83" s="290">
        <f>S83+W83</f>
        <v/>
      </c>
      <c r="AA83" s="290">
        <f>K83+L83+M83+IFERROR(VLOOKUP(B83,RemitTable2,9,FALSE),0)+Y83+Z83</f>
        <v/>
      </c>
      <c r="AB83" s="291" t="n">
        <v>1</v>
      </c>
      <c r="AC83" s="290">
        <f>ROUND(AA83/AB83,0)</f>
        <v/>
      </c>
      <c r="AD83" s="284" t="n"/>
      <c r="AE83" s="287" t="n"/>
      <c r="AF83" s="286" t="n"/>
    </row>
    <row r="84" ht="15.75" customHeight="1">
      <c r="A84" s="284" t="n">
        <v>80</v>
      </c>
      <c r="B84" s="284" t="inlineStr">
        <is>
          <t>PI44133</t>
        </is>
      </c>
      <c r="C84" s="285" t="inlineStr">
        <is>
          <t>Ferco (Figueras)</t>
        </is>
      </c>
      <c r="D84" s="284" t="inlineStr">
        <is>
          <t>20/60/20 T/T</t>
        </is>
      </c>
      <c r="E84" s="285" t="inlineStr">
        <is>
          <t>기타</t>
        </is>
      </c>
      <c r="F84" s="286" t="n">
        <v>46147</v>
      </c>
      <c r="G84" s="287" t="n">
        <v>46217</v>
      </c>
      <c r="H84" s="288" t="n">
        <v>22080</v>
      </c>
      <c r="I84" s="289">
        <f>IFERROR(VLOOKUP(B84,RemitTable2,7,FALSE),0)</f>
        <v/>
      </c>
      <c r="J84" s="290" t="n">
        <v>30295527</v>
      </c>
      <c r="K84" s="290" t="n">
        <v>30295527</v>
      </c>
      <c r="L84" s="290" t="n">
        <v>20000</v>
      </c>
      <c r="M84" s="290" t="n">
        <v>16000</v>
      </c>
      <c r="N84" s="284" t="inlineStr">
        <is>
          <t>RIVA 4031 Recliner Seat 16EA (EUR 22,080) / Monoplex DH Bangbae</t>
        </is>
      </c>
      <c r="O84" s="287" t="inlineStr">
        <is>
          <t>-</t>
        </is>
      </c>
      <c r="P84" s="284" t="inlineStr">
        <is>
          <t>-</t>
        </is>
      </c>
      <c r="Q84" s="288">
        <f>IF(P84="","",IFERROR(VLOOKUP(O84,FxRateTable,4,TRUE),""))</f>
        <v/>
      </c>
      <c r="R84" s="290">
        <f>IF(P84="","",H84)</f>
        <v/>
      </c>
      <c r="S84" s="290" t="n">
        <v>0</v>
      </c>
      <c r="T84" s="290" t="n">
        <v>0</v>
      </c>
      <c r="U84" s="286" t="n"/>
      <c r="V84" s="284" t="inlineStr">
        <is>
          <t>-</t>
        </is>
      </c>
      <c r="W84" s="290" t="n">
        <v>0</v>
      </c>
      <c r="X84" s="285" t="inlineStr">
        <is>
          <t>-</t>
        </is>
      </c>
      <c r="Y84" s="290" t="n">
        <v>0</v>
      </c>
      <c r="Z84" s="290">
        <f>S84+W84</f>
        <v/>
      </c>
      <c r="AA84" s="290">
        <f>K84+L84+M84+IFERROR(VLOOKUP(B84,RemitTable2,9,FALSE),0)+Y84+Z84</f>
        <v/>
      </c>
      <c r="AB84" s="291" t="n">
        <v>16</v>
      </c>
      <c r="AC84" s="290">
        <f>ROUND(AA84/AB84,0)</f>
        <v/>
      </c>
      <c r="AD84" s="284" t="n"/>
      <c r="AE84" s="287" t="inlineStr">
        <is>
          <t>-</t>
        </is>
      </c>
      <c r="AF84" s="286" t="inlineStr">
        <is>
          <t>-</t>
        </is>
      </c>
    </row>
    <row r="85">
      <c r="A85" s="147" t="inlineStr">
        <is>
          <t>장비/부품 합계</t>
        </is>
      </c>
      <c r="B85" s="148" t="n"/>
      <c r="C85" s="148" t="n"/>
      <c r="D85" s="148" t="n"/>
      <c r="E85" s="148" t="n"/>
      <c r="F85" s="148" t="n"/>
      <c r="G85" s="149" t="n"/>
      <c r="H85" s="142">
        <f>SUBTOTAL(9,H5:H50)</f>
        <v/>
      </c>
      <c r="I85" s="141" t="n"/>
      <c r="J85" s="142">
        <f>SUBTOTAL(9,J5:J50)</f>
        <v/>
      </c>
      <c r="K85" s="142">
        <f>SUBTOTAL(9,K5:K50)</f>
        <v/>
      </c>
      <c r="L85" s="142">
        <f>SUBTOTAL(9,L5:L50)</f>
        <v/>
      </c>
      <c r="M85" s="142">
        <f>SUBTOTAL(9,M5:M50)</f>
        <v/>
      </c>
      <c r="N85" s="141" t="n"/>
      <c r="O85" s="141" t="n"/>
      <c r="P85" s="141" t="n"/>
      <c r="Q85" s="142" t="n"/>
      <c r="R85" s="140" t="n"/>
      <c r="S85" s="142">
        <f>SUBTOTAL(9,S5:S50)</f>
        <v/>
      </c>
      <c r="T85" s="142">
        <f>SUBTOTAL(9,T5:T50)</f>
        <v/>
      </c>
      <c r="U85" s="147" t="n"/>
      <c r="V85" s="141" t="n"/>
      <c r="W85" s="142">
        <f>SUBTOTAL(9,W5:W50)</f>
        <v/>
      </c>
      <c r="X85" s="147" t="n"/>
      <c r="Y85" s="142">
        <f>SUBTOTAL(9,Y5:Y50)</f>
        <v/>
      </c>
      <c r="Z85" s="142">
        <f>SUBTOTAL(9,Z5:Z50)</f>
        <v/>
      </c>
      <c r="AA85" s="142">
        <f>SUBTOTAL(9,AA5:AA50)</f>
        <v/>
      </c>
      <c r="AB85" s="147" t="n"/>
      <c r="AC85" s="141" t="n"/>
      <c r="AD85" s="141" t="n"/>
      <c r="AE85" s="141" t="n"/>
      <c r="AF85" s="141" t="n"/>
    </row>
    <row r="86">
      <c r="A86" s="147" t="inlineStr">
        <is>
          <t>라이센스/워런티 합계</t>
        </is>
      </c>
      <c r="B86" s="148" t="n"/>
      <c r="C86" s="148" t="n"/>
      <c r="D86" s="148" t="n"/>
      <c r="E86" s="148" t="n"/>
      <c r="F86" s="148" t="n"/>
      <c r="G86" s="149" t="n"/>
      <c r="H86" s="142">
        <f>SUBTOTAL(9,H51:H79)</f>
        <v/>
      </c>
      <c r="I86" s="141" t="n"/>
      <c r="J86" s="142">
        <f>SUBTOTAL(9,J51:J79)</f>
        <v/>
      </c>
      <c r="K86" s="142">
        <f>SUBTOTAL(9,K51:K79)</f>
        <v/>
      </c>
      <c r="L86" s="142">
        <f>SUBTOTAL(9,L51:L79)</f>
        <v/>
      </c>
      <c r="M86" s="142">
        <f>SUBTOTAL(9,M51:M79)</f>
        <v/>
      </c>
      <c r="N86" s="141" t="n"/>
      <c r="O86" s="141" t="n"/>
      <c r="P86" s="141" t="n"/>
      <c r="Q86" s="142" t="n"/>
      <c r="R86" s="140" t="n"/>
      <c r="S86" s="142">
        <f>SUBTOTAL(9,S51:S79)</f>
        <v/>
      </c>
      <c r="T86" s="142">
        <f>SUBTOTAL(9,T51:T79)</f>
        <v/>
      </c>
      <c r="U86" s="147" t="n"/>
      <c r="V86" s="141" t="n"/>
      <c r="W86" s="142">
        <f>SUBTOTAL(9,W51:W79)</f>
        <v/>
      </c>
      <c r="X86" s="147" t="n"/>
      <c r="Y86" s="142">
        <f>SUBTOTAL(9,Y51:Y79)</f>
        <v/>
      </c>
      <c r="Z86" s="142">
        <f>SUBTOTAL(9,Z51:Z79)</f>
        <v/>
      </c>
      <c r="AA86" s="142">
        <f>SUBTOTAL(9,AA51:AA79)</f>
        <v/>
      </c>
      <c r="AB86" s="147" t="n"/>
      <c r="AC86" s="141" t="n"/>
      <c r="AD86" s="141" t="n"/>
      <c r="AE86" s="141" t="n"/>
      <c r="AF86" s="141" t="n"/>
    </row>
    <row r="87">
      <c r="A87" s="147" t="inlineStr">
        <is>
          <t>기타 합계</t>
        </is>
      </c>
      <c r="B87" s="148" t="n"/>
      <c r="C87" s="148" t="n"/>
      <c r="D87" s="148" t="n"/>
      <c r="E87" s="148" t="n"/>
      <c r="F87" s="148" t="n"/>
      <c r="G87" s="149" t="n"/>
      <c r="H87" s="142">
        <f>SUBTOTAL(9,H80:H84)</f>
        <v/>
      </c>
      <c r="I87" s="141" t="n"/>
      <c r="J87" s="142">
        <f>SUBTOTAL(9,J80:J84)</f>
        <v/>
      </c>
      <c r="K87" s="142">
        <f>SUBTOTAL(9,K80:K84)</f>
        <v/>
      </c>
      <c r="L87" s="142">
        <f>SUBTOTAL(9,L80:L84)</f>
        <v/>
      </c>
      <c r="M87" s="142">
        <f>SUBTOTAL(9,M80:M84)</f>
        <v/>
      </c>
      <c r="N87" s="141" t="n"/>
      <c r="O87" s="141" t="n"/>
      <c r="P87" s="141" t="n"/>
      <c r="Q87" s="142" t="n"/>
      <c r="R87" s="140" t="n"/>
      <c r="S87" s="142">
        <f>SUBTOTAL(9,S80:S84)</f>
        <v/>
      </c>
      <c r="T87" s="142">
        <f>SUBTOTAL(9,T80:T84)</f>
        <v/>
      </c>
      <c r="U87" s="147" t="n"/>
      <c r="V87" s="141" t="n"/>
      <c r="W87" s="142">
        <f>SUBTOTAL(9,W80:W84)</f>
        <v/>
      </c>
      <c r="X87" s="147" t="n"/>
      <c r="Y87" s="142">
        <f>SUBTOTAL(9,Y80:Y84)</f>
        <v/>
      </c>
      <c r="Z87" s="142">
        <f>SUBTOTAL(9,Z80:Z84)</f>
        <v/>
      </c>
      <c r="AA87" s="142">
        <f>SUBTOTAL(9,AA80:AA84)</f>
        <v/>
      </c>
      <c r="AB87" s="147" t="n"/>
      <c r="AC87" s="141" t="n"/>
      <c r="AD87" s="141" t="n"/>
      <c r="AE87" s="141" t="n"/>
      <c r="AF87" s="141" t="n"/>
    </row>
    <row r="88">
      <c r="A88" s="154" t="inlineStr">
        <is>
          <t>총 합계</t>
        </is>
      </c>
      <c r="B88" s="148" t="n"/>
      <c r="C88" s="148" t="n"/>
      <c r="D88" s="148" t="n"/>
      <c r="E88" s="148" t="n"/>
      <c r="F88" s="148" t="n"/>
      <c r="G88" s="149" t="n"/>
      <c r="H88" s="146">
        <f>SUBTOTAL(9,H5:H84)</f>
        <v/>
      </c>
      <c r="I88" s="145" t="n"/>
      <c r="J88" s="146">
        <f>SUBTOTAL(9,J5:J84)</f>
        <v/>
      </c>
      <c r="K88" s="146">
        <f>SUBTOTAL(9,K5:K84)</f>
        <v/>
      </c>
      <c r="L88" s="146">
        <f>SUBTOTAL(9,L5:L84)</f>
        <v/>
      </c>
      <c r="M88" s="146">
        <f>SUBTOTAL(9,M5:M84)</f>
        <v/>
      </c>
      <c r="N88" s="145" t="n"/>
      <c r="O88" s="145" t="n"/>
      <c r="P88" s="145" t="n"/>
      <c r="Q88" s="146" t="n"/>
      <c r="R88" s="144" t="n"/>
      <c r="S88" s="146">
        <f>SUBTOTAL(9,S5:S84)</f>
        <v/>
      </c>
      <c r="T88" s="146">
        <f>SUBTOTAL(9,T5:T84)</f>
        <v/>
      </c>
      <c r="U88" s="154" t="n"/>
      <c r="V88" s="145" t="n"/>
      <c r="W88" s="146">
        <f>SUBTOTAL(9,W5:W84)</f>
        <v/>
      </c>
      <c r="X88" s="154" t="n"/>
      <c r="Y88" s="146">
        <f>SUBTOTAL(9,Y5:Y84)</f>
        <v/>
      </c>
      <c r="Z88" s="146">
        <f>SUBTOTAL(9,Z5:Z84)</f>
        <v/>
      </c>
      <c r="AA88" s="146">
        <f>SUBTOTAL(9,AA5:AA84)</f>
        <v/>
      </c>
      <c r="AB88" s="154" t="n"/>
      <c r="AC88" s="145" t="n"/>
      <c r="AD88" s="145" t="n"/>
      <c r="AE88" s="145" t="n"/>
      <c r="AF88" s="145" t="n"/>
    </row>
    <row r="89"/>
    <row r="90"/>
    <row r="91"/>
    <row r="92"/>
    <row r="93"/>
    <row r="94"/>
    <row r="95"/>
    <row r="96"/>
    <row r="97"/>
    <row r="98"/>
    <row r="99"/>
    <row r="100"/>
    <row r="101"/>
    <row r="102">
      <c r="M102" s="40" t="n"/>
    </row>
  </sheetData>
  <mergeCells count="12">
    <mergeCell ref="A85:G85"/>
    <mergeCell ref="G3:N3"/>
    <mergeCell ref="A88:G88"/>
    <mergeCell ref="A1:AF1"/>
    <mergeCell ref="A87:G87"/>
    <mergeCell ref="AD3:AF3"/>
    <mergeCell ref="A86:G86"/>
    <mergeCell ref="X3:Z3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25대 (롯데 영천 외 8개소)</t>
        </is>
      </c>
      <c r="G26" s="227" t="n">
        <v>46181</v>
      </c>
      <c r="H26" s="227" t="n">
        <v>46241</v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30">
      <c r="A30" s="224" t="n">
        <v>28</v>
      </c>
      <c r="B30" s="224" t="inlineStr">
        <is>
          <t>GPO487</t>
        </is>
      </c>
      <c r="C30" s="225" t="inlineStr">
        <is>
          <t>GDC</t>
        </is>
      </c>
      <c r="D30" s="225" t="inlineStr">
        <is>
          <t>워런티(EW)</t>
        </is>
      </c>
      <c r="E30" s="226" t="n">
        <v>5309</v>
      </c>
      <c r="F30" s="224" t="inlineStr">
        <is>
          <t>SX-3000 EW 133대 (롯데, gross 33,309 차감 보상판매 Credit 28,000)</t>
        </is>
      </c>
      <c r="G30" s="227" t="inlineStr">
        <is>
          <t>-</t>
        </is>
      </c>
      <c r="H30" s="227" t="inlineStr">
        <is>
          <t>-</t>
        </is>
      </c>
      <c r="I30" s="227" t="n">
        <v>46204</v>
      </c>
      <c r="J30" s="227" t="n">
        <v>46387</v>
      </c>
      <c r="K30" s="224" t="inlineStr">
        <is>
          <t>라이센스</t>
        </is>
      </c>
    </row>
    <row r="31">
      <c r="A31" s="224" t="n">
        <v>29</v>
      </c>
      <c r="B31" s="224" t="inlineStr">
        <is>
          <t>CPO700</t>
        </is>
      </c>
      <c r="C31" s="225" t="inlineStr">
        <is>
          <t>Christie</t>
        </is>
      </c>
      <c r="D31" s="225" t="inlineStr">
        <is>
          <t>워런티(EW)</t>
        </is>
      </c>
      <c r="E31" s="226" t="n">
        <v>1114</v>
      </c>
      <c r="F31" s="224" t="inlineStr">
        <is>
          <t>EW Extended Warranty (인보이스 미수취, 대상 미확인)</t>
        </is>
      </c>
      <c r="G31" s="227" t="inlineStr">
        <is>
          <t>-</t>
        </is>
      </c>
      <c r="H31" s="227" t="n">
        <v>46241</v>
      </c>
      <c r="I31" s="227" t="inlineStr">
        <is>
          <t>미확인</t>
        </is>
      </c>
      <c r="J31" s="227" t="inlineStr">
        <is>
          <t>미확인</t>
        </is>
      </c>
      <c r="K31" s="224" t="inlineStr">
        <is>
          <t>라이센스</t>
        </is>
      </c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5233502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40">
      <c r="A40" s="241" t="inlineStr">
        <is>
          <t>23176-26-472403M</t>
        </is>
      </c>
      <c r="B40" s="241" t="inlineStr">
        <is>
          <t>GPO483</t>
        </is>
      </c>
      <c r="C40" s="242" t="n">
        <v>14730</v>
      </c>
      <c r="D40" s="243">
        <f>C40/C40</f>
        <v/>
      </c>
      <c r="E40" s="241" t="inlineStr">
        <is>
          <t>스타합동관세사무소</t>
        </is>
      </c>
      <c r="F40" s="244" t="n">
        <v>0</v>
      </c>
      <c r="G40" s="241" t="inlineStr">
        <is>
          <t>Fedex</t>
        </is>
      </c>
      <c r="H40" s="244" t="n">
        <v>0</v>
      </c>
      <c r="I40" s="241" t="inlineStr">
        <is>
          <t>단독</t>
        </is>
      </c>
      <c r="J40" s="241" t="inlineStr">
        <is>
          <t>통관 결제금액 USD 15,870 (HDMI 모듈 3EA USD 1,140 포함)</t>
        </is>
      </c>
    </row>
    <row r="41">
      <c r="A41" s="241" t="inlineStr">
        <is>
          <t>23176-26-606930M</t>
        </is>
      </c>
      <c r="B41" s="241" t="inlineStr">
        <is>
          <t>CPO703</t>
        </is>
      </c>
      <c r="C41" s="242" t="n">
        <v>5445</v>
      </c>
      <c r="D41" s="243">
        <f>C41/(C41+C42)</f>
        <v/>
      </c>
      <c r="E41" s="241" t="inlineStr">
        <is>
          <t>스타합동관세사무소</t>
        </is>
      </c>
      <c r="F41" s="244" t="n">
        <v>0</v>
      </c>
      <c r="G41" s="241" t="inlineStr">
        <is>
          <t>Fedex</t>
        </is>
      </c>
      <c r="H41" s="244" t="n">
        <v>0</v>
      </c>
      <c r="I41" s="241" t="inlineStr">
        <is>
          <t>합배송</t>
        </is>
      </c>
      <c r="J41" s="241" t="inlineStr">
        <is>
          <t>2건 합산</t>
        </is>
      </c>
    </row>
    <row r="42">
      <c r="A42" s="241" t="n"/>
      <c r="B42" s="241" t="inlineStr">
        <is>
          <t>CPO701</t>
        </is>
      </c>
      <c r="C42" s="242" t="n">
        <v>54</v>
      </c>
      <c r="D42" s="243">
        <f>C42/(C41+C42)</f>
        <v/>
      </c>
      <c r="E42" s="241" t="inlineStr">
        <is>
          <t>스타합동관세사무소</t>
        </is>
      </c>
      <c r="F42" s="244" t="n">
        <v>0</v>
      </c>
      <c r="G42" s="241" t="inlineStr">
        <is>
          <t>Fedex</t>
        </is>
      </c>
      <c r="H42" s="244" t="n">
        <v>0</v>
      </c>
      <c r="I42" s="241" t="inlineStr">
        <is>
          <t>합배송</t>
        </is>
      </c>
      <c r="J42" s="241" t="n"/>
    </row>
    <row r="43">
      <c r="A43" s="241" t="inlineStr">
        <is>
          <t>23176-26-605075M</t>
        </is>
      </c>
      <c r="B43" s="241" t="inlineStr">
        <is>
          <t>GPO488</t>
        </is>
      </c>
      <c r="C43" s="242" t="n">
        <v>180</v>
      </c>
      <c r="D43" s="243">
        <f>C43/C43</f>
        <v/>
      </c>
      <c r="E43" s="241" t="inlineStr">
        <is>
          <t>스타합동관세사무소</t>
        </is>
      </c>
      <c r="F43" s="244" t="n">
        <v>0</v>
      </c>
      <c r="G43" s="241" t="inlineStr">
        <is>
          <t>Fedex</t>
        </is>
      </c>
      <c r="H43" s="244" t="n">
        <v>0</v>
      </c>
      <c r="I43" s="241" t="inlineStr">
        <is>
          <t>단독</t>
        </is>
      </c>
      <c r="J43" s="241" t="n"/>
    </row>
    <row r="44">
      <c r="A44" s="241" t="inlineStr">
        <is>
          <t>23176-26-618473M</t>
        </is>
      </c>
      <c r="B44" s="241" t="inlineStr">
        <is>
          <t>GPO493</t>
        </is>
      </c>
      <c r="C44" s="242" t="n">
        <v>4470</v>
      </c>
      <c r="D44" s="243">
        <f>C44/C44</f>
        <v/>
      </c>
      <c r="E44" s="241" t="inlineStr">
        <is>
          <t>스타합동관세사무소</t>
        </is>
      </c>
      <c r="F44" s="244" t="n">
        <v>0</v>
      </c>
      <c r="G44" s="241" t="inlineStr">
        <is>
          <t>Fedex</t>
        </is>
      </c>
      <c r="H44" s="244" t="n">
        <v>0</v>
      </c>
      <c r="I44" s="241" t="inlineStr">
        <is>
          <t>단독</t>
        </is>
      </c>
      <c r="J44" s="241" t="n"/>
    </row>
    <row r="45">
      <c r="A45" s="241" t="inlineStr">
        <is>
          <t>14008-26-101364M</t>
        </is>
      </c>
      <c r="B45" s="241" t="inlineStr">
        <is>
          <t>GPO482</t>
        </is>
      </c>
      <c r="C45" s="242" t="n">
        <v>329510</v>
      </c>
      <c r="D45" s="243">
        <f>C45/(C45+C46)</f>
        <v/>
      </c>
      <c r="E45" s="241" t="inlineStr">
        <is>
          <t>조운관세사무소</t>
        </is>
      </c>
      <c r="F45" s="244" t="n">
        <v>0</v>
      </c>
      <c r="G45" s="241" t="inlineStr">
        <is>
          <t>훼밀리익스프레스</t>
        </is>
      </c>
      <c r="H45" s="244" t="n">
        <v>0</v>
      </c>
      <c r="I45" s="241" t="inlineStr">
        <is>
          <t>합배송</t>
        </is>
      </c>
      <c r="J45" s="241" t="inlineStr">
        <is>
          <t>2건 합산</t>
        </is>
      </c>
    </row>
    <row r="46">
      <c r="A46" s="241" t="n"/>
      <c r="B46" s="241" t="inlineStr">
        <is>
          <t>GPO485</t>
        </is>
      </c>
      <c r="C46" s="242" t="n">
        <v>5600</v>
      </c>
      <c r="D46" s="243">
        <f>C46/(C45+C46)</f>
        <v/>
      </c>
      <c r="E46" s="241" t="inlineStr">
        <is>
          <t>조운관세사무소</t>
        </is>
      </c>
      <c r="F46" s="244" t="n">
        <v>0</v>
      </c>
      <c r="G46" s="241" t="inlineStr">
        <is>
          <t>훼밀리익스프레스</t>
        </is>
      </c>
      <c r="H46" s="244" t="n">
        <v>0</v>
      </c>
      <c r="I46" s="241" t="inlineStr">
        <is>
          <t>합배송</t>
        </is>
      </c>
      <c r="J46" s="241" t="n"/>
    </row>
    <row r="47">
      <c r="A47" s="241" t="inlineStr">
        <is>
          <t>14008-26-101205M</t>
        </is>
      </c>
      <c r="B47" s="241" t="inlineStr">
        <is>
          <t>EPO18</t>
        </is>
      </c>
      <c r="C47" s="242" t="n">
        <v>4388.4</v>
      </c>
      <c r="D47" s="243">
        <f>C47/C47</f>
        <v/>
      </c>
      <c r="E47" s="241" t="inlineStr">
        <is>
          <t>조운관세사무소</t>
        </is>
      </c>
      <c r="F47" s="244" t="n">
        <v>0</v>
      </c>
      <c r="G47" s="241" t="inlineStr">
        <is>
          <t>진로직스</t>
        </is>
      </c>
      <c r="H47" s="244" t="n">
        <v>0</v>
      </c>
      <c r="I47" s="241" t="inlineStr">
        <is>
          <t>단독</t>
        </is>
      </c>
      <c r="J47" s="241" t="inlineStr">
        <is>
          <t>EUR 결제 건</t>
        </is>
      </c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234" t="n">
        <v>39</v>
      </c>
      <c r="B41" s="234" t="inlineStr">
        <is>
          <t>2026.07.14</t>
        </is>
      </c>
      <c r="C41" s="235" t="inlineStr">
        <is>
          <t>Ferco (Figueras, EUR)</t>
        </is>
      </c>
      <c r="D41" s="234" t="inlineStr">
        <is>
          <t>PI44133-2</t>
        </is>
      </c>
      <c r="E41" s="236" t="n">
        <v>13248</v>
      </c>
      <c r="F41" s="237" t="n">
        <v>1701.72</v>
      </c>
      <c r="G41" s="236" t="n">
        <v>25</v>
      </c>
      <c r="H41" s="238" t="n">
        <v>10000</v>
      </c>
      <c r="I41" s="238" t="n">
        <v>8000</v>
      </c>
      <c r="J41" s="238" t="n">
        <v>22604929</v>
      </c>
      <c r="K41" s="238">
        <f>ROUND((E41+G41)*F41+H41+I41,0)</f>
        <v/>
      </c>
      <c r="L41" s="239">
        <f>J41-K41</f>
        <v/>
      </c>
    </row>
    <row r="42" ht="15.75" customHeight="1">
      <c r="A42" s="234" t="n">
        <v>40</v>
      </c>
      <c r="B42" s="234" t="inlineStr">
        <is>
          <t>2026.08.04</t>
        </is>
      </c>
      <c r="C42" s="235" t="inlineStr">
        <is>
          <t>GDC</t>
        </is>
      </c>
      <c r="D42" s="234" t="inlineStr">
        <is>
          <t>GPO488</t>
        </is>
      </c>
      <c r="E42" s="236" t="n">
        <v>180</v>
      </c>
      <c r="F42" s="237" t="n">
        <v>1432.9</v>
      </c>
      <c r="G42" s="236" t="n">
        <v>20</v>
      </c>
      <c r="H42" s="238" t="n">
        <v>2500</v>
      </c>
      <c r="I42" s="238" t="n">
        <v>8000</v>
      </c>
      <c r="J42" s="238" t="n">
        <v>297080</v>
      </c>
      <c r="K42" s="238">
        <f>ROUND((E42+G42)*F42+H42+I42,0)</f>
        <v/>
      </c>
      <c r="L42" s="239">
        <f>J42-K42</f>
        <v/>
      </c>
    </row>
    <row r="43" ht="15.75" customHeight="1">
      <c r="A43" s="234" t="n">
        <v>41</v>
      </c>
      <c r="B43" s="234" t="inlineStr">
        <is>
          <t>2026.08.07</t>
        </is>
      </c>
      <c r="C43" s="235" t="inlineStr">
        <is>
          <t>Christie</t>
        </is>
      </c>
      <c r="D43" s="234" t="inlineStr">
        <is>
          <t>CPO700, CPO702</t>
        </is>
      </c>
      <c r="E43" s="236" t="n">
        <v>33829</v>
      </c>
      <c r="F43" s="237" t="n">
        <v>1429.8</v>
      </c>
      <c r="G43" s="236" t="n">
        <v>20</v>
      </c>
      <c r="H43" s="238" t="n">
        <v>12500</v>
      </c>
      <c r="I43" s="238" t="n">
        <v>8000</v>
      </c>
      <c r="J43" s="238" t="n">
        <v>48417800</v>
      </c>
      <c r="K43" s="238">
        <f>ROUND((E43+G43)*F43+H43+I43,0)</f>
        <v/>
      </c>
      <c r="L43" s="239">
        <f>J43-K43</f>
        <v/>
      </c>
    </row>
    <row r="44" ht="15.75" customHeight="1">
      <c r="A44" s="234" t="n">
        <v>42</v>
      </c>
      <c r="B44" s="234" t="inlineStr">
        <is>
          <t>2026.08.11</t>
        </is>
      </c>
      <c r="C44" s="235" t="inlineStr">
        <is>
          <t>GDC</t>
        </is>
      </c>
      <c r="D44" s="234" t="inlineStr">
        <is>
          <t>GPO493</t>
        </is>
      </c>
      <c r="E44" s="236" t="n">
        <v>4470</v>
      </c>
      <c r="F44" s="237" t="n">
        <v>1419.3</v>
      </c>
      <c r="G44" s="236" t="n">
        <v>20</v>
      </c>
      <c r="H44" s="238" t="n">
        <v>7500</v>
      </c>
      <c r="I44" s="238" t="n">
        <v>8000</v>
      </c>
      <c r="J44" s="238" t="n">
        <v>6388157</v>
      </c>
      <c r="K44" s="238">
        <f>ROUND((E44+G44)*F44+H44+I44,0)</f>
        <v/>
      </c>
      <c r="L44" s="239">
        <f>J44-K44</f>
        <v/>
      </c>
    </row>
    <row r="45" ht="15.75" customHeight="1">
      <c r="A45" s="169" t="inlineStr">
        <is>
          <t>② PO별 비용 안분 내역</t>
        </is>
      </c>
      <c r="B45" s="148" t="n"/>
      <c r="C45" s="148" t="n"/>
      <c r="D45" s="148" t="n"/>
      <c r="E45" s="148" t="n"/>
      <c r="F45" s="148" t="n"/>
      <c r="G45" s="148" t="n"/>
      <c r="H45" s="148" t="n"/>
      <c r="I45" s="148" t="n"/>
      <c r="J45" s="148" t="n"/>
      <c r="K45" s="148" t="n"/>
      <c r="L45" s="149" t="n"/>
      <c r="M45" s="115" t="n"/>
    </row>
    <row r="46" ht="15.75" customHeight="1">
      <c r="A46" s="150" t="inlineStr">
        <is>
          <t>PO No.</t>
        </is>
      </c>
      <c r="B46" s="150" t="inlineStr">
        <is>
          <t>송금일</t>
        </is>
      </c>
      <c r="C46" s="150" t="inlineStr">
        <is>
          <t>업체</t>
        </is>
      </c>
      <c r="D46" s="150" t="inlineStr">
        <is>
          <t>PO USD</t>
        </is>
      </c>
      <c r="E46" s="150" t="inlineStr">
        <is>
          <t>그룹총USD</t>
        </is>
      </c>
      <c r="F46" s="150" t="inlineStr">
        <is>
          <t>배부비율</t>
        </is>
      </c>
      <c r="G46" s="150" t="inlineStr">
        <is>
          <t>적용환율</t>
        </is>
      </c>
      <c r="H46" s="150" t="inlineStr">
        <is>
          <t>원화환산액</t>
        </is>
      </c>
      <c r="I46" s="150" t="inlineStr">
        <is>
          <t>중개수수료안분</t>
        </is>
      </c>
      <c r="J46" s="150" t="inlineStr">
        <is>
          <t>수수료안분</t>
        </is>
      </c>
      <c r="K46" s="150" t="inlineStr">
        <is>
          <t>전신료안분</t>
        </is>
      </c>
      <c r="L46" s="150" t="inlineStr">
        <is>
          <t>합계</t>
        </is>
      </c>
      <c r="M46" s="115" t="n"/>
    </row>
    <row r="47" ht="15.75" customHeight="1">
      <c r="A47" s="116" t="inlineStr">
        <is>
          <t>CPO678-1</t>
        </is>
      </c>
      <c r="B47" s="116" t="inlineStr">
        <is>
          <t>2025.12.16</t>
        </is>
      </c>
      <c r="C47" s="117" t="inlineStr">
        <is>
          <t>Christie</t>
        </is>
      </c>
      <c r="D47" s="118" t="n">
        <v>139083</v>
      </c>
      <c r="E47" s="118" t="n">
        <v>143557</v>
      </c>
      <c r="F47" s="122" t="n">
        <v>0.968835</v>
      </c>
      <c r="G47" s="118" t="n">
        <v>1479.7</v>
      </c>
      <c r="H47" s="120" t="n">
        <v>205801115</v>
      </c>
      <c r="I47" s="120" t="n">
        <v>28672</v>
      </c>
      <c r="J47" s="120" t="n">
        <v>12110</v>
      </c>
      <c r="K47" s="120" t="n">
        <v>7751</v>
      </c>
      <c r="L47" s="121" t="n">
        <v>205849648</v>
      </c>
      <c r="M47" s="115" t="n"/>
    </row>
    <row r="48" ht="15.75" customHeight="1">
      <c r="A48" s="116" t="inlineStr">
        <is>
          <t>CPO679</t>
        </is>
      </c>
      <c r="B48" s="116" t="inlineStr">
        <is>
          <t>2025.12.16</t>
        </is>
      </c>
      <c r="C48" s="117" t="inlineStr">
        <is>
          <t>Christie</t>
        </is>
      </c>
      <c r="D48" s="118" t="n">
        <v>4474</v>
      </c>
      <c r="E48" s="118" t="n">
        <v>143557</v>
      </c>
      <c r="F48" s="122" t="n">
        <v>0.031165</v>
      </c>
      <c r="G48" s="118" t="n">
        <v>1479.7</v>
      </c>
      <c r="H48" s="120" t="n">
        <v>6620178</v>
      </c>
      <c r="I48" s="120" t="n">
        <v>922</v>
      </c>
      <c r="J48" s="120" t="n">
        <v>390</v>
      </c>
      <c r="K48" s="120" t="n">
        <v>249</v>
      </c>
      <c r="L48" s="121" t="n">
        <v>6621739</v>
      </c>
      <c r="M48" s="115" t="n"/>
    </row>
    <row r="49" ht="15.75" customHeight="1">
      <c r="A49" s="116" t="inlineStr">
        <is>
          <t>MPO65</t>
        </is>
      </c>
      <c r="B49" s="116" t="inlineStr">
        <is>
          <t>2025.12.16</t>
        </is>
      </c>
      <c r="C49" s="117" t="inlineStr">
        <is>
          <t>MAG</t>
        </is>
      </c>
      <c r="D49" s="118" t="n">
        <v>4936</v>
      </c>
      <c r="E49" s="118" t="n">
        <v>15040</v>
      </c>
      <c r="F49" s="122" t="n">
        <v>0.328191</v>
      </c>
      <c r="G49" s="118" t="n">
        <v>1480</v>
      </c>
      <c r="H49" s="120" t="n">
        <v>7305280</v>
      </c>
      <c r="I49" s="120" t="n">
        <v>9714</v>
      </c>
      <c r="J49" s="120" t="n">
        <v>3282</v>
      </c>
      <c r="K49" s="120" t="n">
        <v>2626</v>
      </c>
      <c r="L49" s="121" t="n">
        <v>7320902</v>
      </c>
      <c r="M49" s="115" t="n"/>
    </row>
    <row r="50" ht="15.75" customHeight="1">
      <c r="A50" s="116" t="inlineStr">
        <is>
          <t>GPO451</t>
        </is>
      </c>
      <c r="B50" s="116" t="inlineStr">
        <is>
          <t>2025.12.29</t>
        </is>
      </c>
      <c r="C50" s="117" t="inlineStr">
        <is>
          <t>GDC</t>
        </is>
      </c>
      <c r="D50" s="118" t="n">
        <v>9060</v>
      </c>
      <c r="E50" s="118" t="n">
        <v>13860</v>
      </c>
      <c r="F50" s="122" t="n">
        <v>0.65368</v>
      </c>
      <c r="G50" s="118" t="n">
        <v>1439.1</v>
      </c>
      <c r="H50" s="120" t="n">
        <v>13038246</v>
      </c>
      <c r="I50" s="120" t="n">
        <v>18814</v>
      </c>
      <c r="J50" s="120" t="n">
        <v>6537</v>
      </c>
      <c r="K50" s="120" t="n">
        <v>5229</v>
      </c>
      <c r="L50" s="121" t="n">
        <v>13068826</v>
      </c>
      <c r="M50" s="115" t="n"/>
    </row>
    <row r="51" ht="15.75" customHeight="1">
      <c r="A51" s="116" t="inlineStr">
        <is>
          <t>GPO458</t>
        </is>
      </c>
      <c r="B51" s="116" t="inlineStr">
        <is>
          <t>2025.12.29</t>
        </is>
      </c>
      <c r="C51" s="117" t="inlineStr">
        <is>
          <t>GDC</t>
        </is>
      </c>
      <c r="D51" s="118" t="n">
        <v>350</v>
      </c>
      <c r="E51" s="118" t="n">
        <v>13860</v>
      </c>
      <c r="F51" s="122" t="n">
        <v>0.025253</v>
      </c>
      <c r="G51" s="118" t="n">
        <v>1439.1</v>
      </c>
      <c r="H51" s="120" t="n">
        <v>503685</v>
      </c>
      <c r="I51" s="120" t="n">
        <v>727</v>
      </c>
      <c r="J51" s="120" t="n">
        <v>253</v>
      </c>
      <c r="K51" s="120" t="n">
        <v>202</v>
      </c>
      <c r="L51" s="121" t="n">
        <v>504867</v>
      </c>
      <c r="M51" s="115" t="n"/>
    </row>
    <row r="52" ht="15.75" customHeight="1">
      <c r="A52" s="116" t="inlineStr">
        <is>
          <t>CPO680</t>
        </is>
      </c>
      <c r="B52" s="116" t="inlineStr">
        <is>
          <t>2026.01.13</t>
        </is>
      </c>
      <c r="C52" s="117" t="inlineStr">
        <is>
          <t>Christie</t>
        </is>
      </c>
      <c r="D52" s="118" t="n">
        <v>252</v>
      </c>
      <c r="E52" s="118" t="n">
        <v>252</v>
      </c>
      <c r="F52" s="122" t="n">
        <v>1</v>
      </c>
      <c r="G52" s="118" t="n">
        <v>1479</v>
      </c>
      <c r="H52" s="120" t="n">
        <v>372708</v>
      </c>
      <c r="I52" s="120" t="n">
        <v>29580</v>
      </c>
      <c r="J52" s="120" t="n">
        <v>2500</v>
      </c>
      <c r="K52" s="120" t="n">
        <v>8000</v>
      </c>
      <c r="L52" s="121" t="n">
        <v>412788</v>
      </c>
      <c r="M52" s="115" t="n"/>
    </row>
    <row r="53" ht="15.75" customHeight="1">
      <c r="A53" s="116" t="inlineStr">
        <is>
          <t>GPO459</t>
        </is>
      </c>
      <c r="B53" s="116" t="inlineStr">
        <is>
          <t>2026.01.21</t>
        </is>
      </c>
      <c r="C53" s="117" t="inlineStr">
        <is>
          <t>GDC</t>
        </is>
      </c>
      <c r="D53" s="118" t="n">
        <v>450</v>
      </c>
      <c r="E53" s="118" t="n">
        <v>3700</v>
      </c>
      <c r="F53" s="122" t="n">
        <v>0.121622</v>
      </c>
      <c r="G53" s="118" t="n">
        <v>1475.7</v>
      </c>
      <c r="H53" s="120" t="n">
        <v>664065</v>
      </c>
      <c r="I53" s="120" t="n">
        <v>3590</v>
      </c>
      <c r="J53" s="120" t="n">
        <v>912</v>
      </c>
      <c r="K53" s="120" t="n">
        <v>973</v>
      </c>
      <c r="L53" s="121" t="n">
        <v>669540</v>
      </c>
      <c r="M53" s="115" t="n"/>
    </row>
    <row r="54" ht="15.75" customHeight="1">
      <c r="A54" s="116" t="inlineStr">
        <is>
          <t>GPO460</t>
        </is>
      </c>
      <c r="B54" s="116" t="inlineStr">
        <is>
          <t>2026.01.21</t>
        </is>
      </c>
      <c r="C54" s="117" t="inlineStr">
        <is>
          <t>GDC</t>
        </is>
      </c>
      <c r="D54" s="118" t="n">
        <v>2710</v>
      </c>
      <c r="E54" s="118" t="n">
        <v>3700</v>
      </c>
      <c r="F54" s="122" t="n">
        <v>0.732432</v>
      </c>
      <c r="G54" s="118" t="n">
        <v>1475.7</v>
      </c>
      <c r="H54" s="120" t="n">
        <v>3999147</v>
      </c>
      <c r="I54" s="120" t="n">
        <v>21617</v>
      </c>
      <c r="J54" s="120" t="n">
        <v>5493</v>
      </c>
      <c r="K54" s="120" t="n">
        <v>5859</v>
      </c>
      <c r="L54" s="121" t="n">
        <v>4032116</v>
      </c>
      <c r="M54" s="115" t="n"/>
    </row>
    <row r="55" ht="15.75" customHeight="1">
      <c r="A55" s="116" t="inlineStr">
        <is>
          <t>GPO461</t>
        </is>
      </c>
      <c r="B55" s="116" t="inlineStr">
        <is>
          <t>2026.01.21</t>
        </is>
      </c>
      <c r="C55" s="117" t="inlineStr">
        <is>
          <t>GDC</t>
        </is>
      </c>
      <c r="D55" s="118" t="n">
        <v>540</v>
      </c>
      <c r="E55" s="118" t="n">
        <v>3700</v>
      </c>
      <c r="F55" s="122" t="n">
        <v>0.145946</v>
      </c>
      <c r="G55" s="118" t="n">
        <v>1475.7</v>
      </c>
      <c r="H55" s="120" t="n">
        <v>796878</v>
      </c>
      <c r="I55" s="120" t="n">
        <v>4307</v>
      </c>
      <c r="J55" s="120" t="n">
        <v>1095</v>
      </c>
      <c r="K55" s="120" t="n">
        <v>1168</v>
      </c>
      <c r="L55" s="121" t="n">
        <v>803448</v>
      </c>
      <c r="M55" s="115" t="n"/>
    </row>
    <row r="56" ht="15.75" customHeight="1">
      <c r="A56" s="116" t="inlineStr">
        <is>
          <t>MPO66</t>
        </is>
      </c>
      <c r="B56" s="116" t="inlineStr">
        <is>
          <t>2026.01.21</t>
        </is>
      </c>
      <c r="C56" s="117" t="inlineStr">
        <is>
          <t>MAG</t>
        </is>
      </c>
      <c r="D56" s="118" t="n">
        <v>9626.35</v>
      </c>
      <c r="E56" s="118" t="n">
        <v>9626.35</v>
      </c>
      <c r="F56" s="122" t="n">
        <v>1</v>
      </c>
      <c r="G56" s="118" t="n">
        <v>1476</v>
      </c>
      <c r="H56" s="120" t="n">
        <v>14208493</v>
      </c>
      <c r="I56" s="120" t="n">
        <v>29520</v>
      </c>
      <c r="J56" s="120" t="n">
        <v>10000</v>
      </c>
      <c r="K56" s="120" t="n">
        <v>8000</v>
      </c>
      <c r="L56" s="121" t="n">
        <v>14256013</v>
      </c>
      <c r="M56" s="115" t="n"/>
    </row>
    <row r="57" ht="15.75" customHeight="1">
      <c r="A57" s="116" t="inlineStr">
        <is>
          <t>LPO001</t>
        </is>
      </c>
      <c r="B57" s="116" t="inlineStr">
        <is>
          <t>2026.01.30</t>
        </is>
      </c>
      <c r="C57" s="117" t="inlineStr">
        <is>
          <t>Lemon</t>
        </is>
      </c>
      <c r="D57" s="118" t="n">
        <v>5056.8</v>
      </c>
      <c r="E57" s="118" t="n">
        <v>5056.8</v>
      </c>
      <c r="F57" s="122" t="n">
        <v>1</v>
      </c>
      <c r="G57" s="118" t="n">
        <v>1445.5</v>
      </c>
      <c r="H57" s="120" t="n">
        <v>7309604</v>
      </c>
      <c r="I57" s="120" t="n">
        <v>28910</v>
      </c>
      <c r="J57" s="120" t="n">
        <v>10000</v>
      </c>
      <c r="K57" s="120" t="n">
        <v>8000</v>
      </c>
      <c r="L57" s="121" t="n">
        <v>7356514</v>
      </c>
      <c r="M57" s="115" t="n"/>
    </row>
    <row r="58" ht="15.75" customHeight="1">
      <c r="A58" s="116" t="inlineStr">
        <is>
          <t>CPO682</t>
        </is>
      </c>
      <c r="B58" s="116" t="inlineStr">
        <is>
          <t>2026.02.04</t>
        </is>
      </c>
      <c r="C58" s="117" t="inlineStr">
        <is>
          <t>Christie</t>
        </is>
      </c>
      <c r="D58" s="118" t="n">
        <v>20174</v>
      </c>
      <c r="E58" s="118" t="n">
        <v>24794</v>
      </c>
      <c r="F58" s="122" t="n">
        <v>0.813665</v>
      </c>
      <c r="G58" s="118" t="n">
        <v>1454.7</v>
      </c>
      <c r="H58" s="120" t="n">
        <v>29347118</v>
      </c>
      <c r="I58" s="120" t="n">
        <v>23673</v>
      </c>
      <c r="J58" s="120" t="n">
        <v>10171</v>
      </c>
      <c r="K58" s="120" t="n">
        <v>6509</v>
      </c>
      <c r="L58" s="121" t="n">
        <v>29387471</v>
      </c>
      <c r="M58" s="115" t="n"/>
    </row>
    <row r="59" ht="15.75" customHeight="1">
      <c r="A59" s="116" t="inlineStr">
        <is>
          <t>CPO683</t>
        </is>
      </c>
      <c r="B59" s="116" t="inlineStr">
        <is>
          <t>2026.02.04</t>
        </is>
      </c>
      <c r="C59" s="117" t="inlineStr">
        <is>
          <t>Christie</t>
        </is>
      </c>
      <c r="D59" s="118" t="n">
        <v>4620</v>
      </c>
      <c r="E59" s="118" t="n">
        <v>24794</v>
      </c>
      <c r="F59" s="122" t="n">
        <v>0.186335</v>
      </c>
      <c r="G59" s="118" t="n">
        <v>1454.7</v>
      </c>
      <c r="H59" s="120" t="n">
        <v>6720714</v>
      </c>
      <c r="I59" s="120" t="n">
        <v>5421</v>
      </c>
      <c r="J59" s="120" t="n">
        <v>2329</v>
      </c>
      <c r="K59" s="120" t="n">
        <v>1491</v>
      </c>
      <c r="L59" s="121" t="n">
        <v>6729955</v>
      </c>
      <c r="M59" s="115" t="n"/>
    </row>
    <row r="60" ht="15.75" customHeight="1">
      <c r="A60" s="116" t="inlineStr">
        <is>
          <t>GPO462</t>
        </is>
      </c>
      <c r="B60" s="116" t="inlineStr">
        <is>
          <t>2026.02.04</t>
        </is>
      </c>
      <c r="C60" s="117" t="inlineStr">
        <is>
          <t>GDC</t>
        </is>
      </c>
      <c r="D60" s="118" t="n">
        <v>1440</v>
      </c>
      <c r="E60" s="118" t="n">
        <v>11599.57</v>
      </c>
      <c r="F60" s="122" t="n">
        <v>0.124143</v>
      </c>
      <c r="G60" s="118" t="n">
        <v>1453.6</v>
      </c>
      <c r="H60" s="120" t="n">
        <v>2093184</v>
      </c>
      <c r="I60" s="120" t="n">
        <v>3609</v>
      </c>
      <c r="J60" s="120" t="n">
        <v>1241</v>
      </c>
      <c r="K60" s="120" t="n">
        <v>993</v>
      </c>
      <c r="L60" s="121" t="n">
        <v>2099027</v>
      </c>
      <c r="M60" s="115" t="n"/>
    </row>
    <row r="61" ht="15.75" customHeight="1">
      <c r="A61" s="116" t="inlineStr">
        <is>
          <t>GPO463</t>
        </is>
      </c>
      <c r="B61" s="116" t="inlineStr">
        <is>
          <t>2026.02.04</t>
        </is>
      </c>
      <c r="C61" s="117" t="inlineStr">
        <is>
          <t>GDC</t>
        </is>
      </c>
      <c r="D61" s="118" t="n">
        <v>4489</v>
      </c>
      <c r="E61" s="118" t="n">
        <v>11599.57</v>
      </c>
      <c r="F61" s="122" t="n">
        <v>0.386997</v>
      </c>
      <c r="G61" s="118" t="n">
        <v>1453.6</v>
      </c>
      <c r="H61" s="120" t="n">
        <v>6525210</v>
      </c>
      <c r="I61" s="120" t="n">
        <v>11251</v>
      </c>
      <c r="J61" s="120" t="n">
        <v>3870</v>
      </c>
      <c r="K61" s="120" t="n">
        <v>3096</v>
      </c>
      <c r="L61" s="121" t="n">
        <v>6543427</v>
      </c>
      <c r="M61" s="115" t="n"/>
    </row>
    <row r="62" ht="15.75" customHeight="1">
      <c r="A62" s="116" t="inlineStr">
        <is>
          <t>GPO464</t>
        </is>
      </c>
      <c r="B62" s="116" t="inlineStr">
        <is>
          <t>2026.02.04</t>
        </is>
      </c>
      <c r="C62" s="117" t="inlineStr">
        <is>
          <t>GDC</t>
        </is>
      </c>
      <c r="D62" s="118" t="n">
        <v>5670.57</v>
      </c>
      <c r="E62" s="118" t="n">
        <v>11599.57</v>
      </c>
      <c r="F62" s="122" t="n">
        <v>0.48886</v>
      </c>
      <c r="G62" s="118" t="n">
        <v>1453.6</v>
      </c>
      <c r="H62" s="120" t="n">
        <v>8242741</v>
      </c>
      <c r="I62" s="120" t="n">
        <v>14212</v>
      </c>
      <c r="J62" s="120" t="n">
        <v>4889</v>
      </c>
      <c r="K62" s="120" t="n">
        <v>3911</v>
      </c>
      <c r="L62" s="121" t="n">
        <v>8265753</v>
      </c>
      <c r="M62" s="115" t="n"/>
    </row>
    <row r="63" ht="15.75" customHeight="1">
      <c r="A63" s="116" t="inlineStr">
        <is>
          <t>CPO681</t>
        </is>
      </c>
      <c r="B63" s="116" t="inlineStr">
        <is>
          <t>2026.02.11</t>
        </is>
      </c>
      <c r="C63" s="117" t="inlineStr">
        <is>
          <t>Christie</t>
        </is>
      </c>
      <c r="D63" s="118" t="n">
        <v>26358</v>
      </c>
      <c r="E63" s="118" t="n">
        <v>26358</v>
      </c>
      <c r="F63" s="122" t="n">
        <v>1</v>
      </c>
      <c r="G63" s="118" t="n">
        <v>1460.7</v>
      </c>
      <c r="H63" s="120" t="n">
        <v>38501131</v>
      </c>
      <c r="I63" s="120" t="n">
        <v>29214</v>
      </c>
      <c r="J63" s="120" t="n">
        <v>12500</v>
      </c>
      <c r="K63" s="120" t="n">
        <v>8000</v>
      </c>
      <c r="L63" s="121" t="n">
        <v>38550845</v>
      </c>
      <c r="M63" s="115" t="n"/>
    </row>
    <row r="64" ht="15.75" customHeight="1">
      <c r="A64" s="116" t="inlineStr">
        <is>
          <t>CPO686</t>
        </is>
      </c>
      <c r="B64" s="116" t="inlineStr">
        <is>
          <t>2026.02.19</t>
        </is>
      </c>
      <c r="C64" s="117" t="inlineStr">
        <is>
          <t>Christie</t>
        </is>
      </c>
      <c r="D64" s="118" t="n">
        <v>14793</v>
      </c>
      <c r="E64" s="118" t="n">
        <v>17538</v>
      </c>
      <c r="F64" s="122" t="n">
        <v>0.843483</v>
      </c>
      <c r="G64" s="118" t="n">
        <v>1451.7</v>
      </c>
      <c r="H64" s="120" t="n">
        <v>21474998</v>
      </c>
      <c r="I64" s="120" t="n">
        <v>24490</v>
      </c>
      <c r="J64" s="120" t="n">
        <v>8435</v>
      </c>
      <c r="K64" s="120" t="n">
        <v>6748</v>
      </c>
      <c r="L64" s="121" t="n">
        <v>21514671</v>
      </c>
      <c r="M64" s="115" t="n"/>
    </row>
    <row r="65" ht="15.75" customHeight="1">
      <c r="A65" s="116" t="inlineStr">
        <is>
          <t>CPO689</t>
        </is>
      </c>
      <c r="B65" s="116" t="inlineStr">
        <is>
          <t>2026.02.19</t>
        </is>
      </c>
      <c r="C65" s="117" t="inlineStr">
        <is>
          <t>Christie</t>
        </is>
      </c>
      <c r="D65" s="118" t="n">
        <v>2745</v>
      </c>
      <c r="E65" s="118" t="n">
        <v>17538</v>
      </c>
      <c r="F65" s="122" t="n">
        <v>0.156517</v>
      </c>
      <c r="G65" s="118" t="n">
        <v>1451.7</v>
      </c>
      <c r="H65" s="120" t="n">
        <v>3984917</v>
      </c>
      <c r="I65" s="120" t="n">
        <v>4544</v>
      </c>
      <c r="J65" s="120" t="n">
        <v>1565</v>
      </c>
      <c r="K65" s="120" t="n">
        <v>1252</v>
      </c>
      <c r="L65" s="121" t="n">
        <v>3992278</v>
      </c>
      <c r="M65" s="115" t="n"/>
    </row>
    <row r="66" ht="15.75" customHeight="1">
      <c r="A66" s="116" t="inlineStr">
        <is>
          <t>CPO667</t>
        </is>
      </c>
      <c r="B66" s="116" t="inlineStr">
        <is>
          <t>2026.02.27</t>
        </is>
      </c>
      <c r="C66" s="117" t="inlineStr">
        <is>
          <t>Christie</t>
        </is>
      </c>
      <c r="D66" s="118" t="n">
        <v>5673</v>
      </c>
      <c r="E66" s="118" t="n">
        <v>142189</v>
      </c>
      <c r="F66" s="122" t="n">
        <v>0.039898</v>
      </c>
      <c r="G66" s="118" t="n">
        <v>1441.6</v>
      </c>
      <c r="H66" s="120" t="n">
        <v>8178197</v>
      </c>
      <c r="I66" s="120" t="n">
        <v>1150</v>
      </c>
      <c r="J66" s="120" t="n">
        <v>499</v>
      </c>
      <c r="K66" s="120" t="n">
        <v>319</v>
      </c>
      <c r="L66" s="121" t="n">
        <v>8180165</v>
      </c>
      <c r="M66" s="115" t="n"/>
    </row>
    <row r="67" ht="15.75" customHeight="1">
      <c r="A67" s="116" t="inlineStr">
        <is>
          <t>CPO685</t>
        </is>
      </c>
      <c r="B67" s="116" t="inlineStr">
        <is>
          <t>2026.02.27</t>
        </is>
      </c>
      <c r="C67" s="117" t="inlineStr">
        <is>
          <t>Christie</t>
        </is>
      </c>
      <c r="D67" s="118" t="n">
        <v>136516</v>
      </c>
      <c r="E67" s="118" t="n">
        <v>142189</v>
      </c>
      <c r="F67" s="122" t="n">
        <v>0.960102</v>
      </c>
      <c r="G67" s="118" t="n">
        <v>1441.6</v>
      </c>
      <c r="H67" s="120" t="n">
        <v>196801466</v>
      </c>
      <c r="I67" s="120" t="n">
        <v>27682</v>
      </c>
      <c r="J67" s="120" t="n">
        <v>12001</v>
      </c>
      <c r="K67" s="120" t="n">
        <v>7681</v>
      </c>
      <c r="L67" s="121" t="n">
        <v>196848830</v>
      </c>
      <c r="M67" s="115" t="n"/>
    </row>
    <row r="68" ht="15.75" customHeight="1">
      <c r="A68" s="116" t="inlineStr">
        <is>
          <t>CPO678-2</t>
        </is>
      </c>
      <c r="B68" s="116" t="inlineStr">
        <is>
          <t>2026.03.06</t>
        </is>
      </c>
      <c r="C68" s="117" t="inlineStr">
        <is>
          <t>Christie</t>
        </is>
      </c>
      <c r="D68" s="118" t="n">
        <v>137850</v>
      </c>
      <c r="E68" s="118" t="n">
        <v>137850</v>
      </c>
      <c r="F68" s="122" t="n">
        <v>1</v>
      </c>
      <c r="G68" s="118" t="n">
        <v>1477.6</v>
      </c>
      <c r="H68" s="120" t="n">
        <v>203687160</v>
      </c>
      <c r="I68" s="120" t="n">
        <v>29552</v>
      </c>
      <c r="J68" s="120" t="n">
        <v>12500</v>
      </c>
      <c r="K68" s="120" t="n">
        <v>8000</v>
      </c>
      <c r="L68" s="121" t="n">
        <v>203737212</v>
      </c>
      <c r="M68" s="115" t="n"/>
    </row>
    <row r="69" ht="15.75" customHeight="1">
      <c r="A69" s="116" t="inlineStr">
        <is>
          <t>CPO690</t>
        </is>
      </c>
      <c r="B69" s="116" t="inlineStr">
        <is>
          <t>2026.04.01</t>
        </is>
      </c>
      <c r="C69" s="117" t="inlineStr">
        <is>
          <t>Christie</t>
        </is>
      </c>
      <c r="D69" s="118" t="n">
        <v>9740</v>
      </c>
      <c r="E69" s="118" t="n">
        <v>34354</v>
      </c>
      <c r="F69" s="122" t="n">
        <v>0.283519</v>
      </c>
      <c r="G69" s="118" t="n">
        <v>1505.7</v>
      </c>
      <c r="H69" s="120" t="n">
        <v>14665518</v>
      </c>
      <c r="I69" s="120" t="n">
        <v>8538</v>
      </c>
      <c r="J69" s="120" t="n">
        <v>3544</v>
      </c>
      <c r="K69" s="120" t="n">
        <v>2268</v>
      </c>
      <c r="L69" s="121" t="n">
        <v>14679868</v>
      </c>
      <c r="M69" s="115" t="n"/>
    </row>
    <row r="70" ht="15.75" customHeight="1">
      <c r="A70" s="116" t="inlineStr">
        <is>
          <t>CPO691</t>
        </is>
      </c>
      <c r="B70" s="116" t="inlineStr">
        <is>
          <t>2026.04.01</t>
        </is>
      </c>
      <c r="C70" s="117" t="inlineStr">
        <is>
          <t>Christie</t>
        </is>
      </c>
      <c r="D70" s="118" t="n">
        <v>24614</v>
      </c>
      <c r="E70" s="118" t="n">
        <v>34354</v>
      </c>
      <c r="F70" s="122" t="n">
        <v>0.716481</v>
      </c>
      <c r="G70" s="118" t="n">
        <v>1505.7</v>
      </c>
      <c r="H70" s="120" t="n">
        <v>37061300</v>
      </c>
      <c r="I70" s="120" t="n">
        <v>21576</v>
      </c>
      <c r="J70" s="120" t="n">
        <v>8956</v>
      </c>
      <c r="K70" s="120" t="n">
        <v>5732</v>
      </c>
      <c r="L70" s="121" t="n">
        <v>37097564</v>
      </c>
      <c r="M70" s="115" t="n"/>
    </row>
    <row r="71" ht="15.75" customHeight="1">
      <c r="A71" s="116" t="inlineStr">
        <is>
          <t>GPO467</t>
        </is>
      </c>
      <c r="B71" s="116" t="inlineStr">
        <is>
          <t>2026.04.01</t>
        </is>
      </c>
      <c r="C71" s="117" t="inlineStr">
        <is>
          <t>GDC</t>
        </is>
      </c>
      <c r="D71" s="118" t="n">
        <v>1700</v>
      </c>
      <c r="E71" s="118" t="n">
        <v>6553.05</v>
      </c>
      <c r="F71" s="122" t="n">
        <v>0.259421</v>
      </c>
      <c r="G71" s="118" t="n">
        <v>1506.4</v>
      </c>
      <c r="H71" s="120" t="n">
        <v>2560880</v>
      </c>
      <c r="I71" s="120" t="n">
        <v>7816</v>
      </c>
      <c r="J71" s="120" t="n">
        <v>2594</v>
      </c>
      <c r="K71" s="120" t="n">
        <v>2075</v>
      </c>
      <c r="L71" s="121" t="n">
        <v>2573365</v>
      </c>
      <c r="M71" s="115" t="n"/>
    </row>
    <row r="72" ht="15.75" customHeight="1">
      <c r="A72" s="116" t="inlineStr">
        <is>
          <t>GPO469</t>
        </is>
      </c>
      <c r="B72" s="116" t="inlineStr">
        <is>
          <t>2026.04.01</t>
        </is>
      </c>
      <c r="C72" s="117" t="inlineStr">
        <is>
          <t>GDC</t>
        </is>
      </c>
      <c r="D72" s="118" t="n">
        <v>3993.05</v>
      </c>
      <c r="E72" s="118" t="n">
        <v>6553.05</v>
      </c>
      <c r="F72" s="122" t="n">
        <v>0.6093420000000001</v>
      </c>
      <c r="G72" s="118" t="n">
        <v>1506.4</v>
      </c>
      <c r="H72" s="120" t="n">
        <v>6015131</v>
      </c>
      <c r="I72" s="120" t="n">
        <v>18358</v>
      </c>
      <c r="J72" s="120" t="n">
        <v>6093</v>
      </c>
      <c r="K72" s="120" t="n">
        <v>4875</v>
      </c>
      <c r="L72" s="121" t="n">
        <v>6044457</v>
      </c>
      <c r="M72" s="115" t="n"/>
    </row>
    <row r="73" ht="15.75" customHeight="1">
      <c r="A73" s="116" t="inlineStr">
        <is>
          <t>GPO470</t>
        </is>
      </c>
      <c r="B73" s="116" t="inlineStr">
        <is>
          <t>2026.04.01</t>
        </is>
      </c>
      <c r="C73" s="117" t="inlineStr">
        <is>
          <t>GDC</t>
        </is>
      </c>
      <c r="D73" s="118" t="n">
        <v>360</v>
      </c>
      <c r="E73" s="118" t="n">
        <v>6553.05</v>
      </c>
      <c r="F73" s="122" t="n">
        <v>0.054936</v>
      </c>
      <c r="G73" s="118" t="n">
        <v>1506.4</v>
      </c>
      <c r="H73" s="120" t="n">
        <v>542304</v>
      </c>
      <c r="I73" s="120" t="n">
        <v>1655</v>
      </c>
      <c r="J73" s="120" t="n">
        <v>549</v>
      </c>
      <c r="K73" s="120" t="n">
        <v>439</v>
      </c>
      <c r="L73" s="121" t="n">
        <v>544947</v>
      </c>
      <c r="M73" s="115" t="n"/>
    </row>
    <row r="74" ht="15.75" customHeight="1">
      <c r="A74" s="116" t="inlineStr">
        <is>
          <t>GPO471</t>
        </is>
      </c>
      <c r="B74" s="116" t="inlineStr">
        <is>
          <t>2026.04.01</t>
        </is>
      </c>
      <c r="C74" s="117" t="inlineStr">
        <is>
          <t>GDC</t>
        </is>
      </c>
      <c r="D74" s="118" t="n">
        <v>500</v>
      </c>
      <c r="E74" s="118" t="n">
        <v>6553.05</v>
      </c>
      <c r="F74" s="122" t="n">
        <v>0.07630000000000001</v>
      </c>
      <c r="G74" s="118" t="n">
        <v>1506.4</v>
      </c>
      <c r="H74" s="120" t="n">
        <v>753200</v>
      </c>
      <c r="I74" s="120" t="n">
        <v>2299</v>
      </c>
      <c r="J74" s="120" t="n">
        <v>763</v>
      </c>
      <c r="K74" s="120" t="n">
        <v>610</v>
      </c>
      <c r="L74" s="121" t="n">
        <v>756872</v>
      </c>
      <c r="M74" s="115" t="n"/>
    </row>
    <row r="75" ht="15.75" customHeight="1">
      <c r="A75" s="116" t="inlineStr">
        <is>
          <t>GPO468-1</t>
        </is>
      </c>
      <c r="B75" s="116" t="inlineStr">
        <is>
          <t>2026.04.14</t>
        </is>
      </c>
      <c r="C75" s="117" t="inlineStr">
        <is>
          <t>GDC</t>
        </is>
      </c>
      <c r="D75" s="118" t="n">
        <v>36190</v>
      </c>
      <c r="E75" s="118" t="n">
        <v>57650</v>
      </c>
      <c r="F75" s="122" t="n">
        <v>0.627754</v>
      </c>
      <c r="G75" s="118" t="n">
        <v>1481.9</v>
      </c>
      <c r="H75" s="120" t="n">
        <v>53629961</v>
      </c>
      <c r="I75" s="120" t="n">
        <v>18605</v>
      </c>
      <c r="J75" s="120" t="n">
        <v>7847</v>
      </c>
      <c r="K75" s="120" t="n">
        <v>5022</v>
      </c>
      <c r="L75" s="121" t="n">
        <v>53661435</v>
      </c>
      <c r="M75" s="115" t="n"/>
    </row>
    <row r="76" ht="15.75" customHeight="1">
      <c r="A76" s="116" t="inlineStr">
        <is>
          <t>GPO472</t>
        </is>
      </c>
      <c r="B76" s="116" t="inlineStr">
        <is>
          <t>2026.04.14</t>
        </is>
      </c>
      <c r="C76" s="117" t="inlineStr">
        <is>
          <t>GDC</t>
        </is>
      </c>
      <c r="D76" s="118" t="n">
        <v>180</v>
      </c>
      <c r="E76" s="118" t="n">
        <v>57650</v>
      </c>
      <c r="F76" s="122" t="n">
        <v>0.003122</v>
      </c>
      <c r="G76" s="118" t="n">
        <v>1481.9</v>
      </c>
      <c r="H76" s="120" t="n">
        <v>266742</v>
      </c>
      <c r="I76" s="120" t="n">
        <v>93</v>
      </c>
      <c r="J76" s="120" t="n">
        <v>39</v>
      </c>
      <c r="K76" s="120" t="n">
        <v>25</v>
      </c>
      <c r="L76" s="121" t="n">
        <v>266899</v>
      </c>
      <c r="M76" s="115" t="n"/>
    </row>
    <row r="77" ht="15.75" customHeight="1">
      <c r="A77" s="116" t="inlineStr">
        <is>
          <t>GPO468-2</t>
        </is>
      </c>
      <c r="B77" s="116" t="inlineStr">
        <is>
          <t>2026.04.14</t>
        </is>
      </c>
      <c r="C77" s="117" t="inlineStr">
        <is>
          <t>GDC</t>
        </is>
      </c>
      <c r="D77" s="118" t="n">
        <v>21280</v>
      </c>
      <c r="E77" s="118" t="n">
        <v>57650</v>
      </c>
      <c r="F77" s="122" t="n">
        <v>0.369124</v>
      </c>
      <c r="G77" s="118" t="n">
        <v>1481.9</v>
      </c>
      <c r="H77" s="120" t="n">
        <v>31534832</v>
      </c>
      <c r="I77" s="120" t="n">
        <v>10940</v>
      </c>
      <c r="J77" s="120" t="n">
        <v>4614</v>
      </c>
      <c r="K77" s="120" t="n">
        <v>2953</v>
      </c>
      <c r="L77" s="121" t="n">
        <v>31553339</v>
      </c>
      <c r="M77" s="115" t="n"/>
    </row>
    <row r="78" ht="15.75" customHeight="1">
      <c r="A78" s="116" t="inlineStr">
        <is>
          <t>CPO692-1</t>
        </is>
      </c>
      <c r="B78" s="116" t="inlineStr">
        <is>
          <t>2026.04.22</t>
        </is>
      </c>
      <c r="C78" s="117" t="inlineStr">
        <is>
          <t>Christie</t>
        </is>
      </c>
      <c r="D78" s="118" t="n">
        <v>11000</v>
      </c>
      <c r="E78" s="118" t="n">
        <v>297580</v>
      </c>
      <c r="F78" s="122" t="n">
        <v>0.036965</v>
      </c>
      <c r="G78" s="118" t="n">
        <v>1482.8</v>
      </c>
      <c r="H78" s="120" t="n">
        <v>16310800</v>
      </c>
      <c r="I78" s="120" t="n">
        <v>1096</v>
      </c>
      <c r="J78" s="120" t="n">
        <v>462</v>
      </c>
      <c r="K78" s="120" t="n">
        <v>296</v>
      </c>
      <c r="L78" s="121" t="n">
        <v>16312654</v>
      </c>
      <c r="M78" s="115" t="n"/>
    </row>
    <row r="79" ht="15.75" customHeight="1">
      <c r="A79" s="116" t="inlineStr">
        <is>
          <t>CPO692-2</t>
        </is>
      </c>
      <c r="B79" s="116" t="inlineStr">
        <is>
          <t>2026.04.22</t>
        </is>
      </c>
      <c r="C79" s="117" t="inlineStr">
        <is>
          <t>Christie</t>
        </is>
      </c>
      <c r="D79" s="118" t="n">
        <v>286580</v>
      </c>
      <c r="E79" s="118" t="n">
        <v>297580</v>
      </c>
      <c r="F79" s="122" t="n">
        <v>0.963035</v>
      </c>
      <c r="G79" s="118" t="n">
        <v>1482.8</v>
      </c>
      <c r="H79" s="120" t="n">
        <v>424940824</v>
      </c>
      <c r="I79" s="120" t="n">
        <v>28560</v>
      </c>
      <c r="J79" s="120" t="n">
        <v>12038</v>
      </c>
      <c r="K79" s="120" t="n">
        <v>7704</v>
      </c>
      <c r="L79" s="121" t="n">
        <v>424989126</v>
      </c>
      <c r="M79" s="115" t="n"/>
    </row>
    <row r="80" ht="15.75" customHeight="1">
      <c r="A80" s="116" t="inlineStr">
        <is>
          <t>EPO18</t>
        </is>
      </c>
      <c r="B80" s="116" t="inlineStr">
        <is>
          <t>2026.04.22</t>
        </is>
      </c>
      <c r="C80" s="117" t="inlineStr">
        <is>
          <t>MAICO Italia</t>
        </is>
      </c>
      <c r="D80" s="118" t="n">
        <v>4388.4</v>
      </c>
      <c r="E80" s="118" t="n">
        <v>4388.4</v>
      </c>
      <c r="F80" s="122" t="n">
        <v>1</v>
      </c>
      <c r="G80" s="118" t="n">
        <v>1741.08</v>
      </c>
      <c r="H80" s="120" t="n">
        <v>7640555</v>
      </c>
      <c r="I80" s="120" t="n">
        <v>43527</v>
      </c>
      <c r="J80" s="120" t="n">
        <v>10000</v>
      </c>
      <c r="K80" s="120" t="n">
        <v>8000</v>
      </c>
      <c r="L80" s="121" t="n">
        <v>7702082</v>
      </c>
    </row>
    <row r="81" ht="15.75" customHeight="1">
      <c r="A81" s="116" t="inlineStr">
        <is>
          <t>CPO694</t>
        </is>
      </c>
      <c r="B81" s="116" t="inlineStr">
        <is>
          <t>2026.05.04</t>
        </is>
      </c>
      <c r="C81" s="117" t="inlineStr">
        <is>
          <t>Christie</t>
        </is>
      </c>
      <c r="D81" s="118" t="n">
        <v>17404</v>
      </c>
      <c r="E81" s="118" t="n">
        <v>21439</v>
      </c>
      <c r="F81" s="122" t="n">
        <v>0.811792</v>
      </c>
      <c r="G81" s="118" t="n">
        <v>1474.9</v>
      </c>
      <c r="H81" s="120" t="n">
        <v>25669160</v>
      </c>
      <c r="I81" s="120" t="n">
        <v>23946</v>
      </c>
      <c r="J81" s="120" t="n">
        <v>10147</v>
      </c>
      <c r="K81" s="120" t="n">
        <v>6494</v>
      </c>
      <c r="L81" s="121" t="n">
        <v>25709747</v>
      </c>
    </row>
    <row r="82" ht="15.75" customHeight="1">
      <c r="A82" s="116" t="inlineStr">
        <is>
          <t>CPO695-1</t>
        </is>
      </c>
      <c r="B82" s="116" t="inlineStr">
        <is>
          <t>2026.05.04</t>
        </is>
      </c>
      <c r="C82" s="117" t="inlineStr">
        <is>
          <t>Christie</t>
        </is>
      </c>
      <c r="D82" s="118" t="n">
        <v>2058</v>
      </c>
      <c r="E82" s="118" t="n">
        <v>21439</v>
      </c>
      <c r="F82" s="122" t="n">
        <v>0.09599299999999999</v>
      </c>
      <c r="G82" s="118" t="n">
        <v>1474.9</v>
      </c>
      <c r="H82" s="120" t="n">
        <v>3035344</v>
      </c>
      <c r="I82" s="120" t="n">
        <v>2832</v>
      </c>
      <c r="J82" s="120" t="n">
        <v>1200</v>
      </c>
      <c r="K82" s="120" t="n">
        <v>768</v>
      </c>
      <c r="L82" s="121" t="n">
        <v>3040144</v>
      </c>
    </row>
    <row r="83" ht="15.75" customHeight="1">
      <c r="A83" s="116" t="inlineStr">
        <is>
          <t>CPO695-2</t>
        </is>
      </c>
      <c r="B83" s="116" t="inlineStr">
        <is>
          <t>2026.05.04</t>
        </is>
      </c>
      <c r="C83" s="117" t="inlineStr">
        <is>
          <t>Christie</t>
        </is>
      </c>
      <c r="D83" s="118" t="n">
        <v>1977</v>
      </c>
      <c r="E83" s="118" t="n">
        <v>21439</v>
      </c>
      <c r="F83" s="122" t="n">
        <v>0.09221500000000001</v>
      </c>
      <c r="G83" s="118" t="n">
        <v>1474.9</v>
      </c>
      <c r="H83" s="120" t="n">
        <v>2915877</v>
      </c>
      <c r="I83" s="120" t="n">
        <v>2720</v>
      </c>
      <c r="J83" s="120" t="n">
        <v>1153</v>
      </c>
      <c r="K83" s="120" t="n">
        <v>738</v>
      </c>
      <c r="L83" s="121" t="n">
        <v>2920488</v>
      </c>
    </row>
    <row r="84" ht="15.75" customHeight="1">
      <c r="A84" s="116" t="inlineStr">
        <is>
          <t>IPO016</t>
        </is>
      </c>
      <c r="B84" s="116" t="inlineStr">
        <is>
          <t>2026.05.04</t>
        </is>
      </c>
      <c r="C84" s="117" t="inlineStr">
        <is>
          <t>Integ</t>
        </is>
      </c>
      <c r="D84" s="118" t="n">
        <v>6800</v>
      </c>
      <c r="E84" s="118" t="n">
        <v>6800</v>
      </c>
      <c r="F84" s="122" t="n">
        <v>1</v>
      </c>
      <c r="G84" s="118" t="n">
        <v>1475.2</v>
      </c>
      <c r="H84" s="120" t="n">
        <v>10031360</v>
      </c>
      <c r="I84" s="120" t="n">
        <v>29504</v>
      </c>
      <c r="J84" s="120" t="n">
        <v>10000</v>
      </c>
      <c r="K84" s="120" t="n">
        <v>8000</v>
      </c>
      <c r="L84" s="121" t="n">
        <v>10078864</v>
      </c>
    </row>
    <row r="85" ht="15.75" customHeight="1">
      <c r="A85" s="234" t="inlineStr">
        <is>
          <t>PI44133-1</t>
        </is>
      </c>
      <c r="B85" s="234" t="inlineStr">
        <is>
          <t>2026.05.12</t>
        </is>
      </c>
      <c r="C85" s="235" t="inlineStr">
        <is>
          <t>Ferco (Figueras)</t>
        </is>
      </c>
      <c r="D85" s="236" t="n">
        <v>4416</v>
      </c>
      <c r="E85" s="236" t="n">
        <v>4416</v>
      </c>
      <c r="F85" s="240">
        <f>IFERROR(D85/E85,0)</f>
        <v/>
      </c>
      <c r="G85" s="236" t="n">
        <v>1755.24</v>
      </c>
      <c r="H85" s="238" t="n">
        <v>7751140</v>
      </c>
      <c r="I85" s="238" t="n">
        <v>43881</v>
      </c>
      <c r="J85" s="238" t="n">
        <v>10000</v>
      </c>
      <c r="K85" s="238" t="n">
        <v>8000</v>
      </c>
      <c r="L85" s="239">
        <f>H85+I85+J85+K85</f>
        <v/>
      </c>
    </row>
    <row r="86" ht="15.75" customHeight="1">
      <c r="A86" s="116" t="inlineStr">
        <is>
          <t>GPO478</t>
        </is>
      </c>
      <c r="B86" s="116" t="inlineStr">
        <is>
          <t>2026.05.19</t>
        </is>
      </c>
      <c r="C86" s="117" t="inlineStr">
        <is>
          <t>GDC</t>
        </is>
      </c>
      <c r="D86" s="118" t="n">
        <v>180</v>
      </c>
      <c r="E86" s="118" t="n">
        <v>180</v>
      </c>
      <c r="F86" s="122" t="n">
        <v>1</v>
      </c>
      <c r="G86" s="118" t="n">
        <v>1518.9</v>
      </c>
      <c r="H86" s="120" t="n">
        <v>273402</v>
      </c>
      <c r="I86" s="120" t="n">
        <v>30378</v>
      </c>
      <c r="J86" s="120" t="n">
        <v>2500</v>
      </c>
      <c r="K86" s="120" t="n">
        <v>8000</v>
      </c>
      <c r="L86" s="121" t="n">
        <v>314280</v>
      </c>
    </row>
    <row r="87" ht="15.75" customHeight="1">
      <c r="A87" s="116" t="inlineStr">
        <is>
          <t>CPO698</t>
        </is>
      </c>
      <c r="B87" s="116" t="inlineStr">
        <is>
          <t>2026.05.20</t>
        </is>
      </c>
      <c r="C87" s="117" t="inlineStr">
        <is>
          <t>Christie</t>
        </is>
      </c>
      <c r="D87" s="118" t="n">
        <v>4290</v>
      </c>
      <c r="E87" s="118" t="n">
        <v>4290</v>
      </c>
      <c r="F87" s="122" t="n">
        <v>1</v>
      </c>
      <c r="G87" s="118" t="n">
        <v>1510.6</v>
      </c>
      <c r="H87" s="120" t="n">
        <v>6480474</v>
      </c>
      <c r="I87" s="120" t="n">
        <v>30212</v>
      </c>
      <c r="J87" s="120" t="n">
        <v>7500</v>
      </c>
      <c r="K87" s="120" t="n">
        <v>8000</v>
      </c>
      <c r="L87" s="121" t="n">
        <v>6526186</v>
      </c>
      <c r="M87" s="40" t="n"/>
    </row>
    <row r="88" ht="15.75" customHeight="1">
      <c r="A88" s="116" t="inlineStr">
        <is>
          <t>GPO473-1</t>
        </is>
      </c>
      <c r="B88" s="116" t="inlineStr">
        <is>
          <t>2026.05.29</t>
        </is>
      </c>
      <c r="C88" s="117" t="inlineStr">
        <is>
          <t>GDC</t>
        </is>
      </c>
      <c r="D88" s="118" t="n">
        <v>98800</v>
      </c>
      <c r="E88" s="118" t="n">
        <v>99140</v>
      </c>
      <c r="F88" s="122" t="n">
        <v>0.996571</v>
      </c>
      <c r="G88" s="118" t="n">
        <v>1502.8</v>
      </c>
      <c r="H88" s="120" t="n">
        <v>148476640</v>
      </c>
      <c r="I88" s="120" t="n">
        <v>29953</v>
      </c>
      <c r="J88" s="120" t="n">
        <v>12457</v>
      </c>
      <c r="K88" s="120" t="n">
        <v>7973</v>
      </c>
      <c r="L88" s="121" t="n">
        <v>148527023</v>
      </c>
    </row>
    <row r="89" ht="15.75" customHeight="1">
      <c r="A89" s="116" t="inlineStr">
        <is>
          <t>GPO480</t>
        </is>
      </c>
      <c r="B89" s="116" t="inlineStr">
        <is>
          <t>2026.05.29</t>
        </is>
      </c>
      <c r="C89" s="117" t="inlineStr">
        <is>
          <t>GDC</t>
        </is>
      </c>
      <c r="D89" s="118" t="n">
        <v>250</v>
      </c>
      <c r="E89" s="118" t="n">
        <v>99140</v>
      </c>
      <c r="F89" s="122" t="n">
        <v>0.002522</v>
      </c>
      <c r="G89" s="118" t="n">
        <v>1502.8</v>
      </c>
      <c r="H89" s="120" t="n">
        <v>375700</v>
      </c>
      <c r="I89" s="120" t="n">
        <v>76</v>
      </c>
      <c r="J89" s="120" t="n">
        <v>32</v>
      </c>
      <c r="K89" s="120" t="n">
        <v>20</v>
      </c>
      <c r="L89" s="121" t="n">
        <v>375828</v>
      </c>
    </row>
    <row r="90" ht="15.75" customHeight="1">
      <c r="A90" s="116" t="inlineStr">
        <is>
          <t>GPO479</t>
        </is>
      </c>
      <c r="B90" s="116" t="inlineStr">
        <is>
          <t>2026.05.29</t>
        </is>
      </c>
      <c r="C90" s="117" t="inlineStr">
        <is>
          <t>GDC</t>
        </is>
      </c>
      <c r="D90" s="118" t="n">
        <v>90</v>
      </c>
      <c r="E90" s="118" t="n">
        <v>99140</v>
      </c>
      <c r="F90" s="122" t="n">
        <v>0.000908</v>
      </c>
      <c r="G90" s="118" t="n">
        <v>1502.8</v>
      </c>
      <c r="H90" s="120" t="n">
        <v>135252</v>
      </c>
      <c r="I90" s="120" t="n">
        <v>27</v>
      </c>
      <c r="J90" s="120" t="n">
        <v>11</v>
      </c>
      <c r="K90" s="120" t="n">
        <v>7</v>
      </c>
      <c r="L90" s="121" t="n">
        <v>135297</v>
      </c>
    </row>
    <row r="91" ht="15.75" customHeight="1">
      <c r="A91" s="116" t="inlineStr">
        <is>
          <t>CPO697</t>
        </is>
      </c>
      <c r="B91" s="116" t="inlineStr">
        <is>
          <t>2026.05.29</t>
        </is>
      </c>
      <c r="C91" s="117" t="inlineStr">
        <is>
          <t>Christie</t>
        </is>
      </c>
      <c r="D91" s="118" t="n">
        <v>15289</v>
      </c>
      <c r="E91" s="118" t="n">
        <v>101638</v>
      </c>
      <c r="F91" s="122" t="n">
        <v>0.150426</v>
      </c>
      <c r="G91" s="118" t="n">
        <v>1502.7</v>
      </c>
      <c r="H91" s="120" t="n">
        <v>22974780</v>
      </c>
      <c r="I91" s="120" t="n">
        <v>4521</v>
      </c>
      <c r="J91" s="120" t="n">
        <v>1880</v>
      </c>
      <c r="K91" s="120" t="n">
        <v>1203</v>
      </c>
      <c r="L91" s="121" t="n">
        <v>22982384</v>
      </c>
    </row>
    <row r="92" ht="15.75" customHeight="1">
      <c r="A92" s="116" t="inlineStr">
        <is>
          <t>CPO696-1</t>
        </is>
      </c>
      <c r="B92" s="116" t="inlineStr">
        <is>
          <t>2026.05.29</t>
        </is>
      </c>
      <c r="C92" s="117" t="inlineStr">
        <is>
          <t>Christie</t>
        </is>
      </c>
      <c r="D92" s="118" t="n">
        <v>78209</v>
      </c>
      <c r="E92" s="118" t="n">
        <v>101638</v>
      </c>
      <c r="F92" s="122" t="n">
        <v>0.769486</v>
      </c>
      <c r="G92" s="118" t="n">
        <v>1502.7</v>
      </c>
      <c r="H92" s="120" t="n">
        <v>117524664</v>
      </c>
      <c r="I92" s="120" t="n">
        <v>23126</v>
      </c>
      <c r="J92" s="120" t="n">
        <v>9619</v>
      </c>
      <c r="K92" s="120" t="n">
        <v>6156</v>
      </c>
      <c r="L92" s="121" t="n">
        <v>117563565</v>
      </c>
    </row>
    <row r="93">
      <c r="A93" s="116" t="inlineStr">
        <is>
          <t>CPO696-2</t>
        </is>
      </c>
      <c r="B93" s="116" t="inlineStr">
        <is>
          <t>2026.05.29</t>
        </is>
      </c>
      <c r="C93" s="117" t="inlineStr">
        <is>
          <t>Christie</t>
        </is>
      </c>
      <c r="D93" s="118" t="n">
        <v>8140</v>
      </c>
      <c r="E93" s="118" t="n">
        <v>101638</v>
      </c>
      <c r="F93" s="122" t="n">
        <v>0.08008800000000001</v>
      </c>
      <c r="G93" s="118" t="n">
        <v>1502.7</v>
      </c>
      <c r="H93" s="120" t="n">
        <v>12231978</v>
      </c>
      <c r="I93" s="120" t="n">
        <v>2407</v>
      </c>
      <c r="J93" s="120" t="n">
        <v>1001</v>
      </c>
      <c r="K93" s="120" t="n">
        <v>641</v>
      </c>
      <c r="L93" s="121" t="n">
        <v>12236027</v>
      </c>
    </row>
    <row r="94">
      <c r="A94" s="234" t="inlineStr">
        <is>
          <t>GPO481</t>
        </is>
      </c>
      <c r="B94" s="234" t="inlineStr">
        <is>
          <t>2026.06.10</t>
        </is>
      </c>
      <c r="C94" s="235" t="inlineStr">
        <is>
          <t>GDC</t>
        </is>
      </c>
      <c r="D94" s="236" t="n">
        <v>500</v>
      </c>
      <c r="E94" s="236" t="n">
        <v>119060</v>
      </c>
      <c r="F94" s="240" t="n">
        <v>0.0042</v>
      </c>
      <c r="G94" s="236" t="n">
        <v>1525.3</v>
      </c>
      <c r="H94" s="238" t="n">
        <v>762650</v>
      </c>
      <c r="I94" s="238" t="n">
        <v>128</v>
      </c>
      <c r="J94" s="238" t="n">
        <v>52</v>
      </c>
      <c r="K94" s="238" t="n">
        <v>34</v>
      </c>
      <c r="L94" s="239" t="n">
        <v>762864</v>
      </c>
    </row>
    <row r="95">
      <c r="A95" s="234" t="inlineStr">
        <is>
          <t>GPO473-2</t>
        </is>
      </c>
      <c r="B95" s="234" t="inlineStr">
        <is>
          <t>2026.06.10</t>
        </is>
      </c>
      <c r="C95" s="235" t="inlineStr">
        <is>
          <t>GDC</t>
        </is>
      </c>
      <c r="D95" s="236" t="n">
        <v>69160</v>
      </c>
      <c r="E95" s="236" t="n">
        <v>119060</v>
      </c>
      <c r="F95" s="240" t="n">
        <v>0.580884</v>
      </c>
      <c r="G95" s="236" t="n">
        <v>1525.3</v>
      </c>
      <c r="H95" s="238" t="n">
        <v>105489748</v>
      </c>
      <c r="I95" s="238" t="n">
        <v>17720</v>
      </c>
      <c r="J95" s="238" t="n">
        <v>7261</v>
      </c>
      <c r="K95" s="238" t="n">
        <v>4647</v>
      </c>
      <c r="L95" s="239" t="n">
        <v>105519376</v>
      </c>
    </row>
    <row r="96">
      <c r="A96" s="234" t="inlineStr">
        <is>
          <t>GPO473-3</t>
        </is>
      </c>
      <c r="B96" s="234" t="inlineStr">
        <is>
          <t>2026.06.10</t>
        </is>
      </c>
      <c r="C96" s="235" t="inlineStr">
        <is>
          <t>GDC</t>
        </is>
      </c>
      <c r="D96" s="236" t="n">
        <v>49400</v>
      </c>
      <c r="E96" s="236" t="n">
        <v>119060</v>
      </c>
      <c r="F96" s="240" t="n">
        <v>0.414917</v>
      </c>
      <c r="G96" s="236" t="n">
        <v>1525.3</v>
      </c>
      <c r="H96" s="238" t="n">
        <v>75349820</v>
      </c>
      <c r="I96" s="238" t="n">
        <v>12657</v>
      </c>
      <c r="J96" s="238" t="n">
        <v>5186</v>
      </c>
      <c r="K96" s="238" t="n">
        <v>3319</v>
      </c>
      <c r="L96" s="239" t="n">
        <v>75370982</v>
      </c>
    </row>
    <row r="97">
      <c r="A97" s="234" t="inlineStr">
        <is>
          <t>CPO696-3</t>
        </is>
      </c>
      <c r="B97" s="234" t="inlineStr">
        <is>
          <t>2026.06.17</t>
        </is>
      </c>
      <c r="C97" s="235" t="inlineStr">
        <is>
          <t>Christie</t>
        </is>
      </c>
      <c r="D97" s="236" t="n">
        <v>351274</v>
      </c>
      <c r="E97" s="236" t="n">
        <v>351274</v>
      </c>
      <c r="F97" s="240">
        <f>IFERROR(D97/E97,0)</f>
        <v/>
      </c>
      <c r="G97" s="236" t="n">
        <v>1518</v>
      </c>
      <c r="H97" s="238" t="n">
        <v>533233932</v>
      </c>
      <c r="I97" s="238" t="n">
        <v>30360</v>
      </c>
      <c r="J97" s="238" t="n">
        <v>12500</v>
      </c>
      <c r="K97" s="238" t="n">
        <v>8000</v>
      </c>
      <c r="L97" s="239">
        <f>H97+I97+J97+K97</f>
        <v/>
      </c>
    </row>
    <row r="98">
      <c r="A98" s="234" t="inlineStr">
        <is>
          <t>APO001</t>
        </is>
      </c>
      <c r="B98" s="234" t="inlineStr">
        <is>
          <t>2026.06.17</t>
        </is>
      </c>
      <c r="C98" s="235" t="inlineStr">
        <is>
          <t>Appotronics</t>
        </is>
      </c>
      <c r="D98" s="236" t="n">
        <v>12400</v>
      </c>
      <c r="E98" s="236" t="n">
        <v>12400</v>
      </c>
      <c r="F98" s="240">
        <f>IFERROR(D98/E98,0)</f>
        <v/>
      </c>
      <c r="G98" s="236" t="n">
        <v>1517.1</v>
      </c>
      <c r="H98" s="238" t="n">
        <v>18812040</v>
      </c>
      <c r="I98" s="238" t="n">
        <v>30342</v>
      </c>
      <c r="J98" s="238" t="n">
        <v>10000</v>
      </c>
      <c r="K98" s="238" t="n">
        <v>8000</v>
      </c>
      <c r="L98" s="239">
        <f>H98+I98+J98+K98</f>
        <v/>
      </c>
    </row>
    <row r="99">
      <c r="A99" s="234" t="inlineStr">
        <is>
          <t>MPO67</t>
        </is>
      </c>
      <c r="B99" s="234" t="inlineStr">
        <is>
          <t>2026.06.17</t>
        </is>
      </c>
      <c r="C99" s="235" t="inlineStr">
        <is>
          <t>MAG</t>
        </is>
      </c>
      <c r="D99" s="236" t="n">
        <v>49138.8</v>
      </c>
      <c r="E99" s="236" t="n">
        <v>60726</v>
      </c>
      <c r="F99" s="240">
        <f>IFERROR(D99/E99,0)</f>
        <v/>
      </c>
      <c r="G99" s="236" t="n">
        <v>1517.3</v>
      </c>
      <c r="H99" s="238" t="n">
        <v>74558330</v>
      </c>
      <c r="I99" s="238" t="n">
        <v>24555</v>
      </c>
      <c r="J99" s="238" t="n">
        <v>10115</v>
      </c>
      <c r="K99" s="238" t="n">
        <v>6473</v>
      </c>
      <c r="L99" s="239">
        <f>H99+I99+J99+K99</f>
        <v/>
      </c>
    </row>
    <row r="100">
      <c r="A100" s="234" t="inlineStr">
        <is>
          <t>MPO68</t>
        </is>
      </c>
      <c r="B100" s="234" t="inlineStr">
        <is>
          <t>2026.06.17</t>
        </is>
      </c>
      <c r="C100" s="235" t="inlineStr">
        <is>
          <t>MAG</t>
        </is>
      </c>
      <c r="D100" s="236" t="n">
        <v>11587.2</v>
      </c>
      <c r="E100" s="236" t="n">
        <v>60726</v>
      </c>
      <c r="F100" s="240">
        <f>IFERROR(D100/E100,0)</f>
        <v/>
      </c>
      <c r="G100" s="236" t="n">
        <v>1517.3</v>
      </c>
      <c r="H100" s="238" t="n">
        <v>17582284</v>
      </c>
      <c r="I100" s="238" t="n">
        <v>5791</v>
      </c>
      <c r="J100" s="238" t="n">
        <v>2385</v>
      </c>
      <c r="K100" s="238" t="n">
        <v>1527</v>
      </c>
      <c r="L100" s="239">
        <f>H100+I100+J100+K100</f>
        <v/>
      </c>
    </row>
    <row r="101">
      <c r="A101" s="234" t="inlineStr">
        <is>
          <t>GPO475</t>
        </is>
      </c>
      <c r="B101" s="234" t="inlineStr">
        <is>
          <t>2026.06.17</t>
        </is>
      </c>
      <c r="C101" s="235" t="inlineStr">
        <is>
          <t>GDC</t>
        </is>
      </c>
      <c r="D101" s="236" t="n">
        <v>540</v>
      </c>
      <c r="E101" s="236" t="n">
        <v>2040</v>
      </c>
      <c r="F101" s="240">
        <f>IFERROR(D101/E101,0)</f>
        <v/>
      </c>
      <c r="G101" s="236" t="n">
        <v>1516.8</v>
      </c>
      <c r="H101" s="238" t="n">
        <v>819072</v>
      </c>
      <c r="I101" s="238" t="n">
        <v>8030</v>
      </c>
      <c r="J101" s="238" t="n">
        <v>1985</v>
      </c>
      <c r="K101" s="238" t="n">
        <v>2118</v>
      </c>
      <c r="L101" s="239">
        <f>H101+I101+J101+K101</f>
        <v/>
      </c>
    </row>
    <row r="102">
      <c r="A102" s="234" t="inlineStr">
        <is>
          <t>GPO475-수리</t>
        </is>
      </c>
      <c r="B102" s="234" t="inlineStr">
        <is>
          <t>2026.06.17</t>
        </is>
      </c>
      <c r="C102" s="235" t="inlineStr">
        <is>
          <t>GDC</t>
        </is>
      </c>
      <c r="D102" s="236" t="n">
        <v>1500</v>
      </c>
      <c r="E102" s="236" t="n">
        <v>2040</v>
      </c>
      <c r="F102" s="240">
        <f>IFERROR(D102/E102,0)</f>
        <v/>
      </c>
      <c r="G102" s="236" t="n">
        <v>1516.8</v>
      </c>
      <c r="H102" s="238" t="n">
        <v>2275200</v>
      </c>
      <c r="I102" s="238" t="n">
        <v>22306</v>
      </c>
      <c r="J102" s="238" t="n">
        <v>5515</v>
      </c>
      <c r="K102" s="238" t="n">
        <v>5882</v>
      </c>
      <c r="L102" s="239">
        <f>H102+I102+J102+K102</f>
        <v/>
      </c>
    </row>
    <row r="103">
      <c r="A103" s="234" t="inlineStr">
        <is>
          <t>PI44133-2</t>
        </is>
      </c>
      <c r="B103" s="234" t="inlineStr">
        <is>
          <t>2026.07.14</t>
        </is>
      </c>
      <c r="C103" s="235" t="inlineStr">
        <is>
          <t>Ferco (Figueras)</t>
        </is>
      </c>
      <c r="D103" s="236" t="n">
        <v>13248</v>
      </c>
      <c r="E103" s="236" t="n">
        <v>13248</v>
      </c>
      <c r="F103" s="240">
        <f>IFERROR(D103/E103,0)</f>
        <v/>
      </c>
      <c r="G103" s="236" t="n">
        <v>1701.72</v>
      </c>
      <c r="H103" s="238" t="n">
        <v>22544387</v>
      </c>
      <c r="I103" s="238" t="n">
        <v>42543</v>
      </c>
      <c r="J103" s="238" t="n">
        <v>10000</v>
      </c>
      <c r="K103" s="238" t="n">
        <v>8000</v>
      </c>
      <c r="L103" s="239">
        <f>H103+I103+J103+K103</f>
        <v/>
      </c>
    </row>
    <row r="104">
      <c r="A104" s="234" t="inlineStr">
        <is>
          <t>GPO488</t>
        </is>
      </c>
      <c r="B104" s="234" t="inlineStr">
        <is>
          <t>2026.08.04</t>
        </is>
      </c>
      <c r="C104" s="235" t="inlineStr">
        <is>
          <t>GDC</t>
        </is>
      </c>
      <c r="D104" s="236" t="n">
        <v>180</v>
      </c>
      <c r="E104" s="236" t="n">
        <v>180</v>
      </c>
      <c r="F104" s="240">
        <f>IFERROR(D104/E104,0)</f>
        <v/>
      </c>
      <c r="G104" s="236" t="n">
        <v>1432.9</v>
      </c>
      <c r="H104" s="238" t="n">
        <v>257922</v>
      </c>
      <c r="I104" s="238" t="n">
        <v>28658</v>
      </c>
      <c r="J104" s="238" t="n">
        <v>2500</v>
      </c>
      <c r="K104" s="238" t="n">
        <v>8000</v>
      </c>
      <c r="L104" s="239">
        <f>H104+I104+J104+K104</f>
        <v/>
      </c>
    </row>
    <row r="105">
      <c r="A105" s="234" t="inlineStr">
        <is>
          <t>CPO700</t>
        </is>
      </c>
      <c r="B105" s="234" t="inlineStr">
        <is>
          <t>2026.08.07</t>
        </is>
      </c>
      <c r="C105" s="235" t="inlineStr">
        <is>
          <t>Christie</t>
        </is>
      </c>
      <c r="D105" s="236" t="n">
        <v>1114</v>
      </c>
      <c r="E105" s="236" t="n">
        <v>33829</v>
      </c>
      <c r="F105" s="240">
        <f>IFERROR(D105/E105,0)</f>
        <v/>
      </c>
      <c r="G105" s="236" t="n">
        <v>1429.8</v>
      </c>
      <c r="H105" s="238" t="n">
        <v>1592797</v>
      </c>
      <c r="I105" s="238" t="n">
        <v>942</v>
      </c>
      <c r="J105" s="238" t="n">
        <v>412</v>
      </c>
      <c r="K105" s="238" t="n">
        <v>263</v>
      </c>
      <c r="L105" s="239">
        <f>H105+I105+J105+K105</f>
        <v/>
      </c>
    </row>
    <row r="106">
      <c r="A106" s="234" t="inlineStr">
        <is>
          <t>CPO702</t>
        </is>
      </c>
      <c r="B106" s="234" t="inlineStr">
        <is>
          <t>2026.08.07</t>
        </is>
      </c>
      <c r="C106" s="235" t="inlineStr">
        <is>
          <t>Christie</t>
        </is>
      </c>
      <c r="D106" s="236" t="n">
        <v>32715</v>
      </c>
      <c r="E106" s="236" t="n">
        <v>33829</v>
      </c>
      <c r="F106" s="240">
        <f>IFERROR(D106/E106,0)</f>
        <v/>
      </c>
      <c r="G106" s="236" t="n">
        <v>1429.8</v>
      </c>
      <c r="H106" s="238" t="n">
        <v>46775907</v>
      </c>
      <c r="I106" s="238" t="n">
        <v>27654</v>
      </c>
      <c r="J106" s="238" t="n">
        <v>12088</v>
      </c>
      <c r="K106" s="238" t="n">
        <v>7737</v>
      </c>
      <c r="L106" s="239">
        <f>H106+I106+J106+K106</f>
        <v/>
      </c>
    </row>
    <row r="107">
      <c r="A107" s="234" t="inlineStr">
        <is>
          <t>GPO493</t>
        </is>
      </c>
      <c r="B107" s="234" t="inlineStr">
        <is>
          <t>2026.08.11</t>
        </is>
      </c>
      <c r="C107" s="235" t="inlineStr">
        <is>
          <t>GDC</t>
        </is>
      </c>
      <c r="D107" s="236" t="n">
        <v>4470</v>
      </c>
      <c r="E107" s="236" t="n">
        <v>4470</v>
      </c>
      <c r="F107" s="240">
        <f>IFERROR(D107/E107,0)</f>
        <v/>
      </c>
      <c r="G107" s="236" t="n">
        <v>1419.3</v>
      </c>
      <c r="H107" s="238" t="n">
        <v>6344271</v>
      </c>
      <c r="I107" s="238" t="n">
        <v>28386</v>
      </c>
      <c r="J107" s="238" t="n">
        <v>7500</v>
      </c>
      <c r="K107" s="238" t="n">
        <v>8000</v>
      </c>
      <c r="L107" s="239">
        <f>H107+I107+J107+K107</f>
        <v/>
      </c>
    </row>
  </sheetData>
  <mergeCells count="2">
    <mergeCell ref="A45:L45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2026-08-14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2026-08-14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  <row r="46">
      <c r="A46" s="282" t="n">
        <v>46208</v>
      </c>
      <c r="B46" s="282" t="n">
        <v>46214</v>
      </c>
      <c r="C46" s="207" t="inlineStr">
        <is>
          <t>USD</t>
        </is>
      </c>
      <c r="D46" s="211" t="n">
        <v>1548.52</v>
      </c>
    </row>
    <row r="47">
      <c r="A47" s="282" t="n">
        <v>46215</v>
      </c>
      <c r="B47" s="282" t="n">
        <v>46221</v>
      </c>
      <c r="C47" s="207" t="inlineStr">
        <is>
          <t>USD</t>
        </is>
      </c>
      <c r="D47" s="211" t="n">
        <v>1522.44</v>
      </c>
    </row>
    <row r="48">
      <c r="A48" s="282" t="n">
        <v>46222</v>
      </c>
      <c r="B48" s="282" t="n">
        <v>46228</v>
      </c>
      <c r="C48" s="207" t="inlineStr">
        <is>
          <t>USD</t>
        </is>
      </c>
      <c r="D48" s="211" t="n">
        <v>1498.25</v>
      </c>
    </row>
    <row r="49">
      <c r="A49" s="282" t="n">
        <v>46229</v>
      </c>
      <c r="B49" s="282" t="n">
        <v>46235</v>
      </c>
      <c r="C49" s="207" t="inlineStr">
        <is>
          <t>USD</t>
        </is>
      </c>
      <c r="D49" s="211" t="n">
        <v>1478.44</v>
      </c>
    </row>
    <row r="50">
      <c r="A50" s="282" t="n">
        <v>46236</v>
      </c>
      <c r="B50" s="282" t="n">
        <v>46242</v>
      </c>
      <c r="C50" s="207" t="inlineStr">
        <is>
          <t>USD</t>
        </is>
      </c>
      <c r="D50" s="211" t="n">
        <v>1457.82</v>
      </c>
    </row>
    <row r="51">
      <c r="A51" s="282" t="n">
        <v>46243</v>
      </c>
      <c r="B51" s="282" t="n">
        <v>46249</v>
      </c>
      <c r="C51" s="207" t="inlineStr">
        <is>
          <t>USD</t>
        </is>
      </c>
      <c r="D51" s="211" t="n">
        <v>1427.06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2026-08-14T06:15:26Z</dcterms:modified>
  <cp:lastModifiedBy>원석 도</cp:lastModifiedBy>
  <cp:revision>0</cp:revision>
</cp:coreProperties>
</file>