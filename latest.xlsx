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외화송금내역!$A$3:$L$34</definedName>
    <definedName name="RemitTable2">외화송금내역!$A$37:$L$74</definedName>
    <definedName name="FxRateTable">환율!$A$7:$D$37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2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</fonts>
  <fills count="14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00E2EFDA"/>
        <bgColor rgb="00E2EFDA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5" fillId="0" borderId="0"/>
  </cellStyleXfs>
  <cellXfs count="17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4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right" vertical="center" wrapText="1"/>
    </xf>
    <xf numFmtId="3" fontId="17" fillId="11" borderId="5" applyAlignment="1" pivotButton="0" quotePrefix="0" xfId="0">
      <alignment horizontal="right" vertical="center" wrapText="1"/>
    </xf>
    <xf numFmtId="4" fontId="18" fillId="12" borderId="5" applyAlignment="1" pivotButton="0" quotePrefix="0" xfId="0">
      <alignment horizontal="right" vertical="center" wrapText="1"/>
    </xf>
    <xf numFmtId="0" fontId="18" fillId="12" borderId="5" applyAlignment="1" pivotButton="0" quotePrefix="0" xfId="0">
      <alignment horizontal="right" vertical="center" wrapText="1"/>
    </xf>
    <xf numFmtId="3" fontId="18" fillId="12" borderId="5" applyAlignment="1" pivotButton="0" quotePrefix="0" xfId="0">
      <alignment horizontal="right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9" fillId="0" borderId="0" pivotButton="0" quotePrefix="0" xfId="0"/>
    <xf numFmtId="0" fontId="21" fillId="0" borderId="0" pivotButton="0" quotePrefix="0" xfId="0"/>
    <xf numFmtId="0" fontId="2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7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center" vertical="center" wrapText="1"/>
    </xf>
    <xf numFmtId="0" fontId="18" fillId="12" borderId="5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165" fontId="16" fillId="0" borderId="5" applyAlignment="1" pivotButton="0" quotePrefix="0" xfId="0">
      <alignment horizontal="center" vertical="center"/>
    </xf>
    <xf numFmtId="165" fontId="16" fillId="0" borderId="5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165" fontId="16" fillId="1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right" vertical="center" wrapText="1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4" fontId="20" fillId="0" borderId="1" applyAlignment="1" pivotButton="0" quotePrefix="0" xfId="0">
      <alignment horizontal="center" vertical="center"/>
    </xf>
    <xf numFmtId="165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 wrapText="1"/>
    </xf>
    <xf numFmtId="10" fontId="20" fillId="0" borderId="1" applyAlignment="1" pivotButton="0" quotePrefix="0" xfId="0">
      <alignment horizontal="right" vertical="center"/>
    </xf>
    <xf numFmtId="3" fontId="3" fillId="13" borderId="1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4" authorId="0" shapeId="0">
      <text>
        <t>ITA(정보기술협정) 관세면제
HS 8414.59 — Projector cooling fan
(WTO 협정세율 0%)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12" activePane="bottomRight" state="frozen"/>
      <selection pane="topRight" activeCell="J1" sqref="J1"/>
      <selection pane="bottomLeft" activeCell="A5" sqref="A5"/>
      <selection pane="bottomRight" activeCell="H54" sqref="H5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10.83203125" customWidth="1" style="135" min="3" max="3"/>
    <col width="12.6640625" customWidth="1" style="135" min="4" max="4"/>
    <col width="12" customWidth="1" style="135" min="5" max="5"/>
    <col width="13.33203125" customWidth="1" style="135" min="6" max="7"/>
    <col width="12" customWidth="1" style="135" min="8" max="8"/>
    <col width="10.6640625" customWidth="1" style="135" min="9" max="9"/>
    <col width="15.6640625" customWidth="1" style="135" min="10" max="13"/>
    <col width="36.83203125" customWidth="1" style="135" min="14" max="14"/>
    <col width="11.83203125" customWidth="1" style="135" min="15" max="15"/>
    <col width="16.83203125" customWidth="1" style="135" min="16" max="16"/>
    <col width="13.1640625" customWidth="1" style="135" min="17" max="23"/>
    <col width="10.83203125" customWidth="1" style="73" min="24" max="24"/>
    <col width="15" customWidth="1" style="135" min="25" max="27"/>
    <col width="5.6640625" customWidth="1" style="135" min="28" max="28"/>
    <col width="15" customWidth="1" style="135" min="29" max="29"/>
    <col width="13.33203125" customWidth="1" style="135" min="30" max="32"/>
    <col width="8.6640625" customWidth="1" style="135" min="33" max="36"/>
    <col width="8.6640625" customWidth="1" style="135" min="37" max="16384"/>
  </cols>
  <sheetData>
    <row r="1" ht="24" customHeight="1">
      <c r="A1" s="128" t="inlineStr">
        <is>
          <t>RNR 2026년 PO별 수입원가 산출표 (Master)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T1" s="123" t="n"/>
      <c r="U1" s="123" t="n"/>
      <c r="V1" s="123" t="n"/>
      <c r="W1" s="123" t="n"/>
      <c r="X1" s="123" t="n"/>
      <c r="Y1" s="123" t="n"/>
      <c r="Z1" s="123" t="n"/>
      <c r="AA1" s="123" t="n"/>
      <c r="AB1" s="123" t="n"/>
      <c r="AC1" s="123" t="n"/>
      <c r="AD1" s="123" t="n"/>
      <c r="AE1" s="123" t="n"/>
      <c r="AF1" s="124" t="n"/>
    </row>
    <row r="2" ht="15.75" customHeight="1">
      <c r="A2" s="131" t="inlineStr">
        <is>
          <t>회계처리용 통합 데이터  |  기준일: 2026-05-06  |  노란색=미확인  |  보라색=라이센스/워런티  |  날짜→해당항목 좌측 배치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  <c r="U2" s="123" t="n"/>
      <c r="V2" s="123" t="n"/>
      <c r="W2" s="123" t="n"/>
      <c r="X2" s="123" t="n"/>
      <c r="Y2" s="123" t="n"/>
      <c r="Z2" s="123" t="n"/>
      <c r="AA2" s="123" t="n"/>
      <c r="AB2" s="123" t="n"/>
      <c r="AC2" s="123" t="n"/>
      <c r="AD2" s="123" t="n"/>
      <c r="AE2" s="123" t="n"/>
      <c r="AF2" s="124" t="n"/>
    </row>
    <row r="3" ht="18" customHeight="1">
      <c r="A3" s="122" t="inlineStr">
        <is>
          <t>① 기본정보</t>
        </is>
      </c>
      <c r="B3" s="123" t="n"/>
      <c r="C3" s="123" t="n"/>
      <c r="D3" s="123" t="n"/>
      <c r="E3" s="123" t="n"/>
      <c r="F3" s="124" t="n"/>
      <c r="G3" s="122" t="inlineStr">
        <is>
          <t>② 송금/장비대금</t>
        </is>
      </c>
      <c r="H3" s="123" t="n"/>
      <c r="I3" s="123" t="n"/>
      <c r="J3" s="123" t="n"/>
      <c r="K3" s="123" t="n"/>
      <c r="L3" s="123" t="n"/>
      <c r="M3" s="123" t="n"/>
      <c r="N3" s="124" t="n"/>
      <c r="O3" s="122" t="inlineStr">
        <is>
          <t>③ 수입신고</t>
        </is>
      </c>
      <c r="P3" s="123" t="n"/>
      <c r="Q3" s="123" t="n"/>
      <c r="R3" s="123" t="n"/>
      <c r="S3" s="123" t="n"/>
      <c r="T3" s="123" t="n"/>
      <c r="U3" s="123" t="n"/>
      <c r="V3" s="123" t="n"/>
      <c r="W3" s="124" t="n"/>
      <c r="X3" s="122" t="inlineStr">
        <is>
          <t>④ 통관/운송</t>
        </is>
      </c>
      <c r="Y3" s="123" t="n"/>
      <c r="Z3" s="124" t="n"/>
      <c r="AA3" s="130" t="inlineStr">
        <is>
          <t>⑤ 원가산출</t>
        </is>
      </c>
      <c r="AB3" s="123" t="n"/>
      <c r="AC3" s="124" t="n"/>
      <c r="AD3" s="122" t="inlineStr">
        <is>
          <t>⑥ 계약기간</t>
        </is>
      </c>
      <c r="AE3" s="123" t="n"/>
      <c r="AF3" s="124" t="n"/>
    </row>
    <row r="4" ht="27.75" customHeight="1">
      <c r="A4" s="122" t="inlineStr">
        <is>
          <t>No.</t>
        </is>
      </c>
      <c r="B4" s="122" t="inlineStr">
        <is>
          <t>PO No.</t>
        </is>
      </c>
      <c r="C4" s="122" t="inlineStr">
        <is>
          <t>업체</t>
        </is>
      </c>
      <c r="D4" s="122" t="inlineStr">
        <is>
          <t>지불조건</t>
        </is>
      </c>
      <c r="E4" s="122" t="inlineStr">
        <is>
          <t>구분</t>
        </is>
      </c>
      <c r="F4" s="122" t="inlineStr">
        <is>
          <t>PO일자</t>
        </is>
      </c>
      <c r="G4" s="122" t="inlineStr">
        <is>
          <t>송금일</t>
        </is>
      </c>
      <c r="H4" s="2" t="inlineStr">
        <is>
          <t>Invoice(USD)</t>
        </is>
      </c>
      <c r="I4" s="142" t="inlineStr">
        <is>
          <t>적용환율</t>
        </is>
      </c>
      <c r="J4" s="130" t="inlineStr">
        <is>
          <t>장비대금(KRW)</t>
        </is>
      </c>
      <c r="K4" s="130" t="inlineStr">
        <is>
          <t>원화환산액</t>
        </is>
      </c>
      <c r="L4" s="130" t="inlineStr">
        <is>
          <t>수수료(안분)</t>
        </is>
      </c>
      <c r="M4" s="130" t="inlineStr">
        <is>
          <t>전신료(안분)</t>
        </is>
      </c>
      <c r="N4" s="122" t="inlineStr">
        <is>
          <t>품명/수량</t>
        </is>
      </c>
      <c r="O4" s="122" t="inlineStr">
        <is>
          <t>수입신고일</t>
        </is>
      </c>
      <c r="P4" s="122" t="inlineStr">
        <is>
          <t>수입신고번호</t>
        </is>
      </c>
      <c r="Q4" s="122" t="inlineStr">
        <is>
          <t>신고환율</t>
        </is>
      </c>
      <c r="R4" s="122" t="inlineStr">
        <is>
          <t>과세가격(USD)</t>
        </is>
      </c>
      <c r="S4" s="130" t="inlineStr">
        <is>
          <t>관세(KRW)</t>
        </is>
      </c>
      <c r="T4" s="130" t="inlineStr">
        <is>
          <t>부가세(KRW)</t>
        </is>
      </c>
      <c r="U4" s="122" t="inlineStr">
        <is>
          <t>세금계산서일</t>
        </is>
      </c>
      <c r="V4" s="122" t="inlineStr">
        <is>
          <t>관세사</t>
        </is>
      </c>
      <c r="W4" s="130" t="inlineStr">
        <is>
          <t>관세사비(KRW)</t>
        </is>
      </c>
      <c r="X4" s="122" t="inlineStr">
        <is>
          <t>운송사</t>
        </is>
      </c>
      <c r="Y4" s="130" t="inlineStr">
        <is>
          <t>수입운송료(KRW)</t>
        </is>
      </c>
      <c r="Z4" s="130" t="inlineStr">
        <is>
          <t>소계:관부가세+통관(KRW)</t>
        </is>
      </c>
      <c r="AA4" s="130" t="inlineStr">
        <is>
          <t>총 수입원가(KRW)</t>
        </is>
      </c>
      <c r="AB4" s="122" t="inlineStr">
        <is>
          <t>수량</t>
        </is>
      </c>
      <c r="AC4" s="130" t="inlineStr">
        <is>
          <t>개당 원가(KRW)</t>
        </is>
      </c>
      <c r="AD4" s="122" t="inlineStr">
        <is>
          <t>귀속월</t>
        </is>
      </c>
      <c r="AE4" s="122" t="inlineStr">
        <is>
          <t>계약시작일</t>
        </is>
      </c>
      <c r="AF4" s="122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43" t="n">
        <v>45965</v>
      </c>
      <c r="G5" s="144" t="n">
        <v>46007</v>
      </c>
      <c r="H5" s="7" t="n">
        <v>139083</v>
      </c>
      <c r="I5" s="145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44" t="n">
        <v>46002</v>
      </c>
      <c r="P5" s="3" t="inlineStr">
        <is>
          <t>1219925801471M</t>
        </is>
      </c>
      <c r="Q5" s="7">
        <f>IF(P5="","",IFERROR(VLOOKUP(O5,FxRateTable,4,TRUE()),""))</f>
        <v/>
      </c>
      <c r="R5" s="7">
        <f>IF(P5="","",H5)</f>
        <v/>
      </c>
      <c r="S5" s="9" t="n">
        <v>1682291</v>
      </c>
      <c r="T5" s="9" t="n">
        <v>20784342</v>
      </c>
      <c r="U5" s="143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43" t="n">
        <v>45982</v>
      </c>
      <c r="G6" s="144" t="n">
        <v>46020</v>
      </c>
      <c r="H6" s="7" t="n">
        <v>9060</v>
      </c>
      <c r="I6" s="145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44" t="n">
        <v>45996</v>
      </c>
      <c r="P6" s="3" t="inlineStr">
        <is>
          <t>2317625939353M</t>
        </is>
      </c>
      <c r="Q6" s="7">
        <f>IF(P6="","",IFERROR(VLOOKUP(O6,FxRateTable,4,TRUE()),""))</f>
        <v/>
      </c>
      <c r="R6" s="7">
        <f>IF(P6="","",H6)</f>
        <v/>
      </c>
      <c r="S6" s="9" t="n">
        <v>0</v>
      </c>
      <c r="T6" s="9" t="n">
        <v>1352610</v>
      </c>
      <c r="U6" s="143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43" t="n">
        <v>45987</v>
      </c>
      <c r="G7" s="144" t="n">
        <v>46007</v>
      </c>
      <c r="H7" s="7" t="n">
        <v>4474</v>
      </c>
      <c r="I7" s="145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Lens</t>
        </is>
      </c>
      <c r="O7" s="144" t="n">
        <v>45989</v>
      </c>
      <c r="P7" s="3" t="inlineStr">
        <is>
          <t>1421425100697M</t>
        </is>
      </c>
      <c r="Q7" s="7">
        <f>IF(P7="","",IFERROR(VLOOKUP(O7,FxRateTable,4,TRUE()),""))</f>
        <v/>
      </c>
      <c r="R7" s="7">
        <f>IF(P7="","",H7)</f>
        <v/>
      </c>
      <c r="S7" s="9" t="n">
        <v>560630</v>
      </c>
      <c r="T7" s="9" t="n">
        <v>756850</v>
      </c>
      <c r="U7" s="143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2" t="n">
        <v>4</v>
      </c>
      <c r="B8" s="12" t="inlineStr">
        <is>
          <t>CPO684</t>
        </is>
      </c>
      <c r="C8" s="13" t="inlineStr">
        <is>
          <t>Christie</t>
        </is>
      </c>
      <c r="D8" s="12" t="inlineStr">
        <is>
          <t>Net 45 days</t>
        </is>
      </c>
      <c r="E8" s="13" t="inlineStr">
        <is>
          <t>부품</t>
        </is>
      </c>
      <c r="F8" s="146" t="n">
        <v>45993</v>
      </c>
      <c r="G8" s="147" t="inlineStr">
        <is>
          <t>-</t>
        </is>
      </c>
      <c r="H8" s="16" t="n">
        <v>362.25</v>
      </c>
      <c r="I8" s="148">
        <f>IFERROR(VLOOKUP(B8,RemitTable2,7,FALSE()),0)</f>
        <v/>
      </c>
      <c r="J8" s="18" t="n">
        <v>0</v>
      </c>
      <c r="K8" s="18">
        <f>IFERROR(ROUND(H8*I8,0),0)</f>
        <v/>
      </c>
      <c r="L8" s="18">
        <f>IFERROR(VLOOKUP(B8,RemitTable2,10,FALSE()),0)</f>
        <v/>
      </c>
      <c r="M8" s="18">
        <f>IFERROR(VLOOKUP(B8,RemitTable2,11,FALSE()),0)</f>
        <v/>
      </c>
      <c r="N8" s="12" t="inlineStr">
        <is>
          <t>Parts (국내)</t>
        </is>
      </c>
      <c r="O8" s="12" t="n"/>
      <c r="P8" s="12" t="n"/>
      <c r="Q8" s="18" t="n"/>
      <c r="R8" s="18" t="n"/>
      <c r="S8" s="18" t="n">
        <v>0</v>
      </c>
      <c r="T8" s="18" t="n">
        <v>0</v>
      </c>
      <c r="U8" s="13" t="n">
        <v>0</v>
      </c>
      <c r="V8" s="12" t="inlineStr">
        <is>
          <t>-</t>
        </is>
      </c>
      <c r="W8" s="18" t="n">
        <v>0</v>
      </c>
      <c r="X8" s="13" t="inlineStr">
        <is>
          <t>-</t>
        </is>
      </c>
      <c r="Y8" s="18" t="n">
        <v>0</v>
      </c>
      <c r="Z8" s="18">
        <f>S8+T8+W8</f>
        <v/>
      </c>
      <c r="AA8" s="18">
        <f>K8+L8+M8+IFERROR(VLOOKUP(B8,RemitTable2,9,FALSE()),0)+Y8+Z8</f>
        <v/>
      </c>
      <c r="AB8" s="19" t="n">
        <v>1</v>
      </c>
      <c r="AC8" s="18">
        <f>ROUND(AA8/AB8,0)</f>
        <v/>
      </c>
      <c r="AD8" s="12" t="n"/>
      <c r="AE8" s="12" t="inlineStr">
        <is>
          <t>-</t>
        </is>
      </c>
      <c r="AF8" s="13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43" t="n">
        <v>45995</v>
      </c>
      <c r="G9" s="144" t="n">
        <v>46035</v>
      </c>
      <c r="H9" s="7" t="n">
        <v>252</v>
      </c>
      <c r="I9" s="145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44" t="n">
        <v>46002</v>
      </c>
      <c r="P9" s="3" t="inlineStr">
        <is>
          <t>1219925801471M</t>
        </is>
      </c>
      <c r="Q9" s="7">
        <f>IF(P9="","",IFERROR(VLOOKUP(O9,FxRateTable,4,TRUE()),""))</f>
        <v/>
      </c>
      <c r="R9" s="7">
        <f>IF(P9="","",H9)</f>
        <v/>
      </c>
      <c r="S9" s="9" t="n">
        <v>29879</v>
      </c>
      <c r="T9" s="9" t="n">
        <v>37658</v>
      </c>
      <c r="U9" s="143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43" t="n">
        <v>46007</v>
      </c>
      <c r="G10" s="144" t="n">
        <v>46043</v>
      </c>
      <c r="H10" s="7" t="n">
        <v>2710</v>
      </c>
      <c r="I10" s="145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44" t="n">
        <v>46023</v>
      </c>
      <c r="P10" s="3" t="inlineStr">
        <is>
          <t>2317626006259M</t>
        </is>
      </c>
      <c r="Q10" s="7">
        <f>IF(P10="","",IFERROR(VLOOKUP(O10,FxRateTable,4,TRUE()),""))</f>
        <v/>
      </c>
      <c r="R10" s="7">
        <f>IF(P10="","",H10)</f>
        <v/>
      </c>
      <c r="S10" s="9" t="n">
        <v>0</v>
      </c>
      <c r="T10" s="9" t="n">
        <v>399770</v>
      </c>
      <c r="U10" s="143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43" t="n">
        <v>46007</v>
      </c>
      <c r="G11" s="144" t="n">
        <v>46052</v>
      </c>
      <c r="H11" s="7" t="n">
        <v>5056.8</v>
      </c>
      <c r="I11" s="145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44" t="n">
        <v>46090</v>
      </c>
      <c r="P11" s="3" t="inlineStr">
        <is>
          <t>1421426100183M</t>
        </is>
      </c>
      <c r="Q11" s="7">
        <f>IF(P11="","",IFERROR(VLOOKUP(O11,FxRateTable,4,TRUE()),""))</f>
        <v/>
      </c>
      <c r="R11" s="7">
        <f>IF(P11="","",H11)</f>
        <v/>
      </c>
      <c r="S11" s="9" t="n">
        <v>240450</v>
      </c>
      <c r="T11" s="9" t="n">
        <v>831820</v>
      </c>
      <c r="U11" s="143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43" t="n">
        <v>46009</v>
      </c>
      <c r="G12" s="144" t="n">
        <v>46087</v>
      </c>
      <c r="H12" s="7" t="n">
        <v>137850</v>
      </c>
      <c r="I12" s="145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44" t="n">
        <v>46030</v>
      </c>
      <c r="P12" s="3" t="inlineStr">
        <is>
          <t>1400826101004M</t>
        </is>
      </c>
      <c r="Q12" s="7">
        <f>IF(P12="","",IFERROR(VLOOKUP(O12,FxRateTable,4,TRUE()),""))</f>
        <v/>
      </c>
      <c r="R12" s="7">
        <f>IF(P12="","",H12)</f>
        <v/>
      </c>
      <c r="S12" s="9" t="n">
        <v>0</v>
      </c>
      <c r="T12" s="9" t="n">
        <v>19976300</v>
      </c>
      <c r="U12" s="143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43" t="n">
        <v>46010</v>
      </c>
      <c r="G13" s="144" t="n">
        <v>46057</v>
      </c>
      <c r="H13" s="7" t="n">
        <v>20174</v>
      </c>
      <c r="I13" s="145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 + Touch Screen (2EA)</t>
        </is>
      </c>
      <c r="O13" s="144" t="n">
        <v>46015</v>
      </c>
      <c r="P13" s="3" t="inlineStr">
        <is>
          <t>1400825101450M</t>
        </is>
      </c>
      <c r="Q13" s="7">
        <f>IF(P13="","",IFERROR(VLOOKUP(O13,FxRateTable,4,TRUE()),""))</f>
        <v/>
      </c>
      <c r="R13" s="7">
        <f>IF(P13="","",H13)</f>
        <v/>
      </c>
      <c r="S13" s="9" t="n">
        <v>84170</v>
      </c>
      <c r="T13" s="9" t="n">
        <v>3156262</v>
      </c>
      <c r="U13" s="143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43" t="n">
        <v>46010</v>
      </c>
      <c r="G14" s="144" t="n">
        <v>46057</v>
      </c>
      <c r="H14" s="7" t="n">
        <v>4620</v>
      </c>
      <c r="I14" s="145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Fan (15EA)</t>
        </is>
      </c>
      <c r="O14" s="144" t="n">
        <v>46015</v>
      </c>
      <c r="P14" s="3" t="inlineStr">
        <is>
          <t>1400825101450M</t>
        </is>
      </c>
      <c r="Q14" s="7">
        <f>IF(P14="","",IFERROR(VLOOKUP(O14,FxRateTable,4,TRUE()),""))</f>
        <v/>
      </c>
      <c r="R14" s="7">
        <f>IF(P14="","",H14)</f>
        <v/>
      </c>
      <c r="S14" s="9" t="n">
        <v>0</v>
      </c>
      <c r="T14" s="9" t="n">
        <v>722808</v>
      </c>
      <c r="U14" s="143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43" t="n">
        <v>46011</v>
      </c>
      <c r="G15" s="144" t="n">
        <v>46043</v>
      </c>
      <c r="H15" s="7" t="n">
        <v>9626.35</v>
      </c>
      <c r="I15" s="145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44" t="n">
        <v>46072</v>
      </c>
      <c r="P15" s="3" t="inlineStr">
        <is>
          <t>1421426100153M</t>
        </is>
      </c>
      <c r="Q15" s="7">
        <f>IF(P15="","",IFERROR(VLOOKUP(O15,FxRateTable,4,TRUE()),""))</f>
        <v/>
      </c>
      <c r="R15" s="7">
        <f>IF(P15="","",H15)</f>
        <v/>
      </c>
      <c r="S15" s="9" t="n">
        <v>0</v>
      </c>
      <c r="T15" s="9" t="n">
        <v>1704871</v>
      </c>
      <c r="U15" s="143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43" t="n">
        <v>46011</v>
      </c>
      <c r="G16" s="144" t="n">
        <v>46007</v>
      </c>
      <c r="H16" s="7" t="n">
        <v>4936</v>
      </c>
      <c r="I16" s="145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44" t="n">
        <v>46072</v>
      </c>
      <c r="P16" s="3" t="inlineStr">
        <is>
          <t>1421426100153M</t>
        </is>
      </c>
      <c r="Q16" s="7">
        <f>IF(P16="","",IFERROR(VLOOKUP(O16,FxRateTable,4,TRUE()),""))</f>
        <v/>
      </c>
      <c r="R16" s="7">
        <f>IF(P16="","",H16)</f>
        <v/>
      </c>
      <c r="S16" s="9" t="n">
        <v>0</v>
      </c>
      <c r="T16" s="9" t="n">
        <v>874189</v>
      </c>
      <c r="U16" s="143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43" t="n">
        <v>46025</v>
      </c>
      <c r="G17" s="144" t="n">
        <v>46072</v>
      </c>
      <c r="H17" s="7" t="n">
        <v>2745</v>
      </c>
      <c r="I17" s="145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44" t="n">
        <v>46042</v>
      </c>
      <c r="P17" s="3" t="inlineStr">
        <is>
          <t>2317626055855M</t>
        </is>
      </c>
      <c r="Q17" s="7">
        <f>IF(P17="","",IFERROR(VLOOKUP(O17,FxRateTable,4,TRUE()),""))</f>
        <v/>
      </c>
      <c r="R17" s="7">
        <f>IF(P17="","",H17)</f>
        <v/>
      </c>
      <c r="S17" s="9" t="n">
        <v>20430</v>
      </c>
      <c r="T17" s="9" t="n">
        <v>409790</v>
      </c>
      <c r="U17" s="143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43" t="n">
        <v>46029</v>
      </c>
      <c r="G18" s="144" t="n">
        <v>46113</v>
      </c>
      <c r="H18" s="7" t="n">
        <v>1700</v>
      </c>
      <c r="I18" s="145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SR-1000 Face Plate(20)+Security Gate(10)</t>
        </is>
      </c>
      <c r="O18" s="144" t="n">
        <v>46056</v>
      </c>
      <c r="P18" s="3" t="inlineStr">
        <is>
          <t>2317626105219M</t>
        </is>
      </c>
      <c r="Q18" s="7">
        <f>IF(P18="","",IFERROR(VLOOKUP(O18,FxRateTable,4,TRUE()),""))</f>
        <v/>
      </c>
      <c r="R18" s="7">
        <f>IF(P18="","",H18)</f>
        <v/>
      </c>
      <c r="S18" s="9" t="n">
        <v>0</v>
      </c>
      <c r="T18" s="9" t="n">
        <v>250080</v>
      </c>
      <c r="U18" s="143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30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43" t="n">
        <v>46035</v>
      </c>
      <c r="G19" s="144" t="n">
        <v>46134</v>
      </c>
      <c r="H19" s="7" t="n">
        <v>11000</v>
      </c>
      <c r="I19" s="145" t="n">
        <v>1482.8</v>
      </c>
      <c r="J19" s="9" t="n">
        <v>16310800</v>
      </c>
      <c r="K19" s="9" t="n">
        <v>16310800</v>
      </c>
      <c r="L19" s="9" t="n">
        <v>462</v>
      </c>
      <c r="M19" s="9" t="n">
        <v>296</v>
      </c>
      <c r="N19" s="3" t="inlineStr">
        <is>
          <t>Lens (2EA)</t>
        </is>
      </c>
      <c r="O19" s="144" t="n">
        <v>46064</v>
      </c>
      <c r="P19" s="3" t="inlineStr">
        <is>
          <t>2235626138790M</t>
        </is>
      </c>
      <c r="Q19" s="7">
        <f>IF(P19="","",IFERROR(VLOOKUP(O19,FxRateTable,4,TRUE()),""))</f>
        <v/>
      </c>
      <c r="R19" s="7">
        <f>IF(P19="","",H19)</f>
        <v/>
      </c>
      <c r="S19" s="9" t="n">
        <v>1297810</v>
      </c>
      <c r="T19" s="9" t="n">
        <v>1752040</v>
      </c>
      <c r="U19" s="143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 t="n">
        <v>20915590</v>
      </c>
      <c r="AB19" s="11" t="n">
        <v>2</v>
      </c>
      <c r="AC19" s="10" t="n">
        <v>10457795</v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43" t="n">
        <v>46035</v>
      </c>
      <c r="G20" s="144" t="n">
        <v>46134</v>
      </c>
      <c r="H20" s="7" t="n">
        <v>286580</v>
      </c>
      <c r="I20" s="145" t="n">
        <v>1482.8</v>
      </c>
      <c r="J20" s="9" t="n">
        <v>424990980</v>
      </c>
      <c r="K20" s="9" t="n">
        <v>424990980</v>
      </c>
      <c r="L20" s="9" t="n">
        <v>12038</v>
      </c>
      <c r="M20" s="9" t="n">
        <v>7704</v>
      </c>
      <c r="N20" s="3" t="inlineStr">
        <is>
          <t>Projector+Lens+ASSY (28EA)</t>
        </is>
      </c>
      <c r="O20" s="144" t="n">
        <v>46073</v>
      </c>
      <c r="P20" s="3" t="inlineStr">
        <is>
          <t>1400826101051M</t>
        </is>
      </c>
      <c r="Q20" s="7">
        <f>IF(P20="","",IFERROR(VLOOKUP(O20,FxRateTable,4,TRUE()),""))</f>
        <v/>
      </c>
      <c r="R20" s="7">
        <f>IF(P20="","",H20)</f>
        <v/>
      </c>
      <c r="S20" s="9" t="n">
        <v>3450410</v>
      </c>
      <c r="T20" s="9" t="n">
        <v>42329590</v>
      </c>
      <c r="U20" s="143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 t="n">
        <v>473718807</v>
      </c>
      <c r="AB20" s="11" t="n">
        <v>28</v>
      </c>
      <c r="AC20" s="10" t="n">
        <v>16918529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43" t="n">
        <v>46050</v>
      </c>
      <c r="G21" s="144" t="n">
        <v>46113</v>
      </c>
      <c r="H21" s="7" t="n">
        <v>9740</v>
      </c>
      <c r="I21" s="145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44" t="n">
        <v>46053</v>
      </c>
      <c r="P21" s="3" t="inlineStr">
        <is>
          <t>2235626096487M</t>
        </is>
      </c>
      <c r="Q21" s="7">
        <f>IF(P21="","",IFERROR(VLOOKUP(O21,FxRateTable,4,TRUE()),""))</f>
        <v/>
      </c>
      <c r="R21" s="7">
        <f>IF(P21="","",H21)</f>
        <v/>
      </c>
      <c r="S21" s="9" t="n">
        <v>0</v>
      </c>
      <c r="T21" s="9" t="n">
        <v>1493440</v>
      </c>
      <c r="U21" s="143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2" t="n">
        <v>18</v>
      </c>
      <c r="B22" s="12" t="inlineStr">
        <is>
          <t>CPO693</t>
        </is>
      </c>
      <c r="C22" s="13" t="inlineStr">
        <is>
          <t>Christie</t>
        </is>
      </c>
      <c r="D22" s="12" t="inlineStr">
        <is>
          <t>Net 45 days</t>
        </is>
      </c>
      <c r="E22" s="13" t="inlineStr">
        <is>
          <t>장비</t>
        </is>
      </c>
      <c r="F22" s="146" t="n">
        <v>46071</v>
      </c>
      <c r="G22" s="147" t="inlineStr">
        <is>
          <t>-</t>
        </is>
      </c>
      <c r="H22" s="16" t="n">
        <v>35674</v>
      </c>
      <c r="I22" s="148">
        <f>IFERROR(VLOOKUP(B22,RemitTable2,7,FALSE()),0)</f>
        <v/>
      </c>
      <c r="J22" s="18" t="n">
        <v>0</v>
      </c>
      <c r="K22" s="18">
        <f>IFERROR(ROUND(H22*I22,0),0)</f>
        <v/>
      </c>
      <c r="L22" s="18">
        <f>IFERROR(VLOOKUP(B22,RemitTable2,10,FALSE()),0)</f>
        <v/>
      </c>
      <c r="M22" s="18">
        <f>IFERROR(VLOOKUP(B22,RemitTable2,11,FALSE()),0)</f>
        <v/>
      </c>
      <c r="N22" s="12" t="inlineStr">
        <is>
          <t>Projector (한국)</t>
        </is>
      </c>
      <c r="O22" s="12" t="n"/>
      <c r="P22" s="12" t="n"/>
      <c r="Q22" s="18" t="n"/>
      <c r="R22" s="18" t="n"/>
      <c r="S22" s="18" t="n">
        <v>0</v>
      </c>
      <c r="T22" s="18" t="n">
        <v>0</v>
      </c>
      <c r="U22" s="13" t="n">
        <v>0</v>
      </c>
      <c r="V22" s="12" t="inlineStr">
        <is>
          <t>-</t>
        </is>
      </c>
      <c r="W22" s="18" t="n">
        <v>0</v>
      </c>
      <c r="X22" s="13" t="inlineStr">
        <is>
          <t>-</t>
        </is>
      </c>
      <c r="Y22" s="18" t="n">
        <v>0</v>
      </c>
      <c r="Z22" s="18">
        <f>S22+T22+W22</f>
        <v/>
      </c>
      <c r="AA22" s="18">
        <f>K22+L22+M22+IFERROR(VLOOKUP(B22,RemitTable2,9,FALSE()),0)+Y22+Z22</f>
        <v/>
      </c>
      <c r="AB22" s="19" t="n">
        <v>1</v>
      </c>
      <c r="AC22" s="18">
        <f>ROUND(AA22/AB22,0)</f>
        <v/>
      </c>
      <c r="AD22" s="12" t="n"/>
      <c r="AE22" s="12" t="inlineStr">
        <is>
          <t>-</t>
        </is>
      </c>
      <c r="AF22" s="13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43" t="n">
        <v>46080</v>
      </c>
      <c r="G23" s="144" t="inlineStr">
        <is>
          <t>-</t>
        </is>
      </c>
      <c r="H23" s="7" t="n">
        <v>36190</v>
      </c>
      <c r="I23" s="145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44" t="n">
        <v>46095</v>
      </c>
      <c r="P23" s="3" t="inlineStr">
        <is>
          <t>1400826101085M</t>
        </is>
      </c>
      <c r="Q23" s="7">
        <f>IF(P23="","",IFERROR(VLOOKUP(O23,FxRateTable,4,TRUE()),""))</f>
        <v/>
      </c>
      <c r="R23" s="7">
        <f>IF(P23="","",H23)</f>
        <v/>
      </c>
      <c r="S23" s="9" t="n">
        <v>0</v>
      </c>
      <c r="T23" s="9" t="n">
        <v>5395574</v>
      </c>
      <c r="U23" s="143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43" t="n">
        <v>46088</v>
      </c>
      <c r="G24" s="144" t="inlineStr">
        <is>
          <t>-</t>
        </is>
      </c>
      <c r="H24" s="7" t="n">
        <v>180</v>
      </c>
      <c r="I24" s="145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Coverplate (3EA)</t>
        </is>
      </c>
      <c r="O24" s="144" t="n">
        <v>46095</v>
      </c>
      <c r="P24" s="3" t="inlineStr">
        <is>
          <t>1400826101085M</t>
        </is>
      </c>
      <c r="Q24" s="7">
        <f>IF(P24="","",IFERROR(VLOOKUP(O24,FxRateTable,4,TRUE()),""))</f>
        <v/>
      </c>
      <c r="R24" s="7">
        <f>IF(P24="","",H24)</f>
        <v/>
      </c>
      <c r="S24" s="9" t="n">
        <v>0</v>
      </c>
      <c r="T24" s="9" t="n">
        <v>26836</v>
      </c>
      <c r="U24" s="143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3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43" t="n">
        <v>46088</v>
      </c>
      <c r="G25" s="144" t="inlineStr">
        <is>
          <t>-</t>
        </is>
      </c>
      <c r="H25" s="7" t="n">
        <v>21280</v>
      </c>
      <c r="I25" s="145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44" t="n">
        <v>46104</v>
      </c>
      <c r="P25" s="3" t="inlineStr">
        <is>
          <t>2317626258975M</t>
        </is>
      </c>
      <c r="Q25" s="7">
        <f>IF(P25="","",IFERROR(VLOOKUP(O25,FxRateTable,4,TRUE()),""))</f>
        <v/>
      </c>
      <c r="R25" s="7">
        <f>IF(P25="","",H25)</f>
        <v/>
      </c>
      <c r="S25" s="9" t="n">
        <v>0</v>
      </c>
      <c r="T25" s="9" t="n">
        <v>4747530</v>
      </c>
      <c r="U25" s="143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43" t="n">
        <v>46098</v>
      </c>
      <c r="G26" s="144" t="n">
        <v>46146</v>
      </c>
      <c r="H26" s="7" t="n">
        <v>2058</v>
      </c>
      <c r="I26" s="145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44" t="n">
        <v>46105</v>
      </c>
      <c r="P26" s="3" t="inlineStr">
        <is>
          <t>2235626283517M</t>
        </is>
      </c>
      <c r="Q26" s="7">
        <f>IF(P26="","",IFERROR(VLOOKUP(O26,FxRateTable,4,TRUE()),""))</f>
        <v/>
      </c>
      <c r="R26" s="7">
        <f>IF(P26="","",H26)</f>
        <v/>
      </c>
      <c r="S26" s="9" t="n">
        <v>0</v>
      </c>
      <c r="T26" s="9" t="n">
        <v>350480</v>
      </c>
      <c r="U26" s="143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43" t="n">
        <v>46098</v>
      </c>
      <c r="G27" s="144" t="n">
        <v>46146</v>
      </c>
      <c r="H27" s="7" t="n">
        <v>1977</v>
      </c>
      <c r="I27" s="145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Filter(11EA)+Fan(5EA)</t>
        </is>
      </c>
      <c r="O27" s="144" t="n">
        <v>46104</v>
      </c>
      <c r="P27" s="3" t="inlineStr">
        <is>
          <t>2235626277307M</t>
        </is>
      </c>
      <c r="Q27" s="7">
        <f>IF(P27="","",IFERROR(VLOOKUP(O27,FxRateTable,4,TRUE()),""))</f>
        <v/>
      </c>
      <c r="R27" s="7">
        <f>IF(P27="","",H27)</f>
        <v/>
      </c>
      <c r="S27" s="9" t="n">
        <v>50790</v>
      </c>
      <c r="T27" s="9" t="n">
        <v>317310</v>
      </c>
      <c r="U27" s="143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16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43" t="n">
        <v>46106</v>
      </c>
      <c r="G28" s="144" t="n"/>
      <c r="H28" s="7" t="n">
        <v>4290</v>
      </c>
      <c r="I28" s="145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44" t="n">
        <v>46122</v>
      </c>
      <c r="P28" s="3" t="inlineStr">
        <is>
          <t>2235626346781M</t>
        </is>
      </c>
      <c r="Q28" s="7">
        <f>IF(P28="","",IFERROR(VLOOKUP(O28,FxRateTable,4,TRUE()),""))</f>
        <v/>
      </c>
      <c r="R28" s="7">
        <f>IF(P28="","",H28)</f>
        <v/>
      </c>
      <c r="S28" s="9" t="n">
        <v>524320</v>
      </c>
      <c r="T28" s="9" t="n">
        <v>707830</v>
      </c>
      <c r="U28" s="143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78" t="n">
        <v>25</v>
      </c>
      <c r="B29" s="78" t="inlineStr">
        <is>
          <t>CPO696-1</t>
        </is>
      </c>
      <c r="C29" s="78" t="inlineStr">
        <is>
          <t>Christie</t>
        </is>
      </c>
      <c r="D29" s="78" t="inlineStr">
        <is>
          <t>Net 45 days</t>
        </is>
      </c>
      <c r="E29" s="78" t="inlineStr">
        <is>
          <t>장비</t>
        </is>
      </c>
      <c r="F29" s="149" t="n">
        <v>46113</v>
      </c>
      <c r="G29" s="149" t="inlineStr">
        <is>
          <t>-</t>
        </is>
      </c>
      <c r="H29" s="80" t="n">
        <v>78209</v>
      </c>
      <c r="I29" s="150">
        <f>IFERROR(VLOOKUP(B29,RemitTable2,7,FALSE()),0)</f>
        <v/>
      </c>
      <c r="J29" s="82" t="n">
        <v>0</v>
      </c>
      <c r="K29" s="82">
        <f>IFERROR(ROUND(H29*I29,0),0)</f>
        <v/>
      </c>
      <c r="L29" s="82">
        <f>IFERROR(VLOOKUP(B29,RemitTable2,10,FALSE()),0)</f>
        <v/>
      </c>
      <c r="M29" s="82">
        <f>IFERROR(VLOOKUP(B29,RemitTable2,11,FALSE()),0)</f>
        <v/>
      </c>
      <c r="N29" s="78" t="inlineStr">
        <is>
          <t>CP4445-RGB Projector 외 (렌탈용)</t>
        </is>
      </c>
      <c r="O29" s="149" t="n">
        <v>46129</v>
      </c>
      <c r="P29" s="78" t="inlineStr">
        <is>
          <t>14008-26-101125M</t>
        </is>
      </c>
      <c r="Q29" s="151">
        <f>IF(P29="","",IFERROR(VLOOKUP(O29,FxRateTable,4,TRUE()),""))</f>
        <v/>
      </c>
      <c r="R29" s="80">
        <f>IF(P29="","",H29)</f>
        <v/>
      </c>
      <c r="S29" s="82" t="n">
        <v>67570</v>
      </c>
      <c r="T29" s="82" t="n">
        <v>12073120</v>
      </c>
      <c r="U29" s="149" t="n"/>
      <c r="V29" s="78" t="inlineStr">
        <is>
          <t>조운관세사무소</t>
        </is>
      </c>
      <c r="W29" s="82" t="n">
        <v>286000</v>
      </c>
      <c r="X29" s="78" t="inlineStr">
        <is>
          <t>진로직스</t>
        </is>
      </c>
      <c r="Y29" s="82" t="n">
        <v>3909069</v>
      </c>
      <c r="Z29" s="82">
        <f>S29+T29+W29</f>
        <v/>
      </c>
      <c r="AA29" s="83">
        <f>K29+L29+M29+IFERROR(VLOOKUP(B29,RemitTable2,9,FALSE()),0)+Y29+Z29</f>
        <v/>
      </c>
      <c r="AB29" s="84" t="n">
        <v>1</v>
      </c>
      <c r="AC29" s="83">
        <f>ROUND(AA29/AB29,0)</f>
        <v/>
      </c>
      <c r="AD29" s="78" t="inlineStr">
        <is>
          <t>2026-04</t>
        </is>
      </c>
      <c r="AE29" s="78" t="n"/>
      <c r="AF29" s="78" t="n"/>
    </row>
    <row r="30" ht="15.75" customHeight="1">
      <c r="A30" s="78" t="n">
        <v>26</v>
      </c>
      <c r="B30" s="78" t="inlineStr">
        <is>
          <t>CPO696-2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49" t="n">
        <v>46113</v>
      </c>
      <c r="G30" s="149" t="inlineStr">
        <is>
          <t>-</t>
        </is>
      </c>
      <c r="H30" s="80" t="n">
        <v>8140</v>
      </c>
      <c r="I30" s="15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SMC Chiller HRS-040 외</t>
        </is>
      </c>
      <c r="O30" s="149" t="n">
        <v>46132</v>
      </c>
      <c r="P30" s="78" t="inlineStr">
        <is>
          <t>14008-26-101129M</t>
        </is>
      </c>
      <c r="Q30" s="151">
        <f>IF(P30="","",IFERROR(VLOOKUP(O30,FxRateTable,4,TRUE()),""))</f>
        <v/>
      </c>
      <c r="R30" s="80">
        <f>IF(P30="","",H30)</f>
        <v/>
      </c>
      <c r="S30" s="82" t="n">
        <v>1019820</v>
      </c>
      <c r="T30" s="82" t="n">
        <v>1376760</v>
      </c>
      <c r="U30" s="149" t="n"/>
      <c r="V30" s="78" t="inlineStr">
        <is>
          <t>조운관세사무소</t>
        </is>
      </c>
      <c r="W30" s="82" t="n">
        <v>33000</v>
      </c>
      <c r="X30" s="78" t="inlineStr">
        <is>
          <t>진로직스</t>
        </is>
      </c>
      <c r="Y30" s="82" t="n">
        <v>846621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EPO18</t>
        </is>
      </c>
      <c r="C31" s="78" t="inlineStr">
        <is>
          <t>Elicent</t>
        </is>
      </c>
      <c r="D31" s="78" t="inlineStr">
        <is>
          <t>T/T (EUR)</t>
        </is>
      </c>
      <c r="E31" s="78" t="inlineStr">
        <is>
          <t>부품</t>
        </is>
      </c>
      <c r="F31" s="149" t="n">
        <v>46132</v>
      </c>
      <c r="G31" s="149" t="n">
        <v>46134</v>
      </c>
      <c r="H31" s="80" t="n">
        <v>4388.4</v>
      </c>
      <c r="I31" s="150" t="n">
        <v>1741.08</v>
      </c>
      <c r="J31" s="82" t="n">
        <v>7702082</v>
      </c>
      <c r="K31" s="82" t="n">
        <v>7702082</v>
      </c>
      <c r="L31" s="82" t="n">
        <v>10000</v>
      </c>
      <c r="M31" s="82" t="n">
        <v>8000</v>
      </c>
      <c r="N31" s="78" t="inlineStr">
        <is>
          <t>AXC 200 ELICENT 60ea (EUR / 재고)</t>
        </is>
      </c>
      <c r="O31" s="149" t="n"/>
      <c r="P31" s="78" t="n"/>
      <c r="Q31" s="151">
        <f>IF(P31="","",IFERROR(VLOOKUP(O31,FxRateTable,4,TRUE()),""))</f>
        <v/>
      </c>
      <c r="R31" s="80">
        <f>IF(P31="","",H31)</f>
        <v/>
      </c>
      <c r="S31" s="82" t="n">
        <v>0</v>
      </c>
      <c r="T31" s="82" t="n">
        <v>0</v>
      </c>
      <c r="U31" s="149" t="n"/>
      <c r="V31" s="78" t="inlineStr">
        <is>
          <t>-</t>
        </is>
      </c>
      <c r="W31" s="82" t="n">
        <v>0</v>
      </c>
      <c r="X31" s="78" t="inlineStr">
        <is>
          <t>-</t>
        </is>
      </c>
      <c r="Y31" s="82" t="n">
        <v>0</v>
      </c>
      <c r="Z31" s="82">
        <f>S31+T31+W31</f>
        <v/>
      </c>
      <c r="AA31" s="83" t="n">
        <v>7763609</v>
      </c>
      <c r="AB31" s="84" t="n">
        <v>60</v>
      </c>
      <c r="AC31" s="83" t="n">
        <v>129393</v>
      </c>
      <c r="AD31" s="78" t="n"/>
      <c r="AE31" s="78" t="n"/>
      <c r="AF31" s="78" t="n"/>
    </row>
    <row r="32" ht="15.75" customHeight="1">
      <c r="A32" s="20" t="n">
        <v>28</v>
      </c>
      <c r="B32" s="20" t="inlineStr">
        <is>
          <t>CPO667</t>
        </is>
      </c>
      <c r="C32" s="21" t="inlineStr">
        <is>
          <t>Christie</t>
        </is>
      </c>
      <c r="D32" s="20" t="inlineStr">
        <is>
          <t>Net 45 days</t>
        </is>
      </c>
      <c r="E32" s="21" t="inlineStr">
        <is>
          <t>워런티(EW)</t>
        </is>
      </c>
      <c r="F32" s="152" t="n">
        <v>45925</v>
      </c>
      <c r="G32" s="153" t="n">
        <v>46080</v>
      </c>
      <c r="H32" s="24" t="n">
        <v>5673</v>
      </c>
      <c r="I32" s="154">
        <f>IFERROR(VLOOKUP(B29,RemitTable2,7,FALSE()),0)</f>
        <v/>
      </c>
      <c r="J32" s="26" t="n">
        <v>205028994</v>
      </c>
      <c r="K32" s="26">
        <f>IFERROR(ROUND(H29*I29,0),0)</f>
        <v/>
      </c>
      <c r="L32" s="26">
        <f>IFERROR(VLOOKUP(B29,RemitTable2,10,FALSE()),0)</f>
        <v/>
      </c>
      <c r="M32" s="26">
        <f>IFERROR(VLOOKUP(B29,RemitTable2,11,FALSE()),0)</f>
        <v/>
      </c>
      <c r="N32" s="20" t="inlineStr">
        <is>
          <t>EW CP2220</t>
        </is>
      </c>
      <c r="O32" s="20" t="inlineStr">
        <is>
          <t>-</t>
        </is>
      </c>
      <c r="P32" s="20" t="inlineStr">
        <is>
          <t>-</t>
        </is>
      </c>
      <c r="Q32" s="26">
        <f>IF(P29="","",IFERROR(VLOOKUP(O29,FxRateTable,4,TRUE()),""))</f>
        <v/>
      </c>
      <c r="R32" s="26">
        <f>IF(P29="","",H29)</f>
        <v/>
      </c>
      <c r="S32" s="26" t="n">
        <v>0</v>
      </c>
      <c r="T32" s="26" t="n">
        <v>0</v>
      </c>
      <c r="U32" s="21" t="n">
        <v>0</v>
      </c>
      <c r="V32" s="20" t="inlineStr">
        <is>
          <t>-</t>
        </is>
      </c>
      <c r="W32" s="26" t="n">
        <v>0</v>
      </c>
      <c r="X32" s="21" t="inlineStr">
        <is>
          <t>-</t>
        </is>
      </c>
      <c r="Y32" s="26" t="n">
        <v>0</v>
      </c>
      <c r="Z32" s="26">
        <f>S29+T29+W29</f>
        <v/>
      </c>
      <c r="AA32" s="26">
        <f>K29+L29+M29+IFERROR(VLOOKUP(B29,RemitTable2,9,FALSE()),0)+Y29+Z29</f>
        <v/>
      </c>
      <c r="AB32" s="27" t="n">
        <v>1</v>
      </c>
      <c r="AC32" s="26">
        <f>ROUND(AA29/AB29,0)</f>
        <v/>
      </c>
      <c r="AD32" s="20" t="inlineStr">
        <is>
          <t>2025-09</t>
        </is>
      </c>
      <c r="AE32" s="153" t="inlineStr">
        <is>
          <t>2025-09-13</t>
        </is>
      </c>
      <c r="AF32" s="152" t="inlineStr">
        <is>
          <t>2026-08-28</t>
        </is>
      </c>
    </row>
    <row r="33" ht="15.75" customHeight="1">
      <c r="A33" s="20" t="n">
        <v>29</v>
      </c>
      <c r="B33" s="20" t="inlineStr">
        <is>
          <t>GPO458</t>
        </is>
      </c>
      <c r="C33" s="21" t="inlineStr">
        <is>
          <t>GDC</t>
        </is>
      </c>
      <c r="D33" s="20" t="inlineStr">
        <is>
          <t>Net 30 days</t>
        </is>
      </c>
      <c r="E33" s="21" t="inlineStr">
        <is>
          <t>라이센스</t>
        </is>
      </c>
      <c r="F33" s="152" t="n">
        <v>45982</v>
      </c>
      <c r="G33" s="153" t="n">
        <v>46020</v>
      </c>
      <c r="H33" s="24" t="n">
        <v>350</v>
      </c>
      <c r="I33" s="154">
        <f>IFERROR(VLOOKUP(B30,RemitTable2,7,FALSE()),0)</f>
        <v/>
      </c>
      <c r="J33" s="26" t="n">
        <v>18264679</v>
      </c>
      <c r="K33" s="26">
        <f>IFERROR(ROUND(H30*I30,0),0)</f>
        <v/>
      </c>
      <c r="L33" s="26">
        <f>IFERROR(VLOOKUP(B30,RemitTable2,10,FALSE()),0)</f>
        <v/>
      </c>
      <c r="M33" s="26">
        <f>IFERROR(VLOOKUP(B30,RemitTable2,11,FALSE()),0)</f>
        <v/>
      </c>
      <c r="N33" s="20" t="inlineStr">
        <is>
          <t>HFR License</t>
        </is>
      </c>
      <c r="O33" s="20" t="inlineStr">
        <is>
          <t>-</t>
        </is>
      </c>
      <c r="P33" s="20" t="inlineStr">
        <is>
          <t>-</t>
        </is>
      </c>
      <c r="Q33" s="26">
        <f>IF(P30="","",IFERROR(VLOOKUP(O30,FxRateTable,4,TRUE()),""))</f>
        <v/>
      </c>
      <c r="R33" s="26">
        <f>IF(P30="","",H30)</f>
        <v/>
      </c>
      <c r="S33" s="26" t="n">
        <v>0</v>
      </c>
      <c r="T33" s="26" t="n">
        <v>0</v>
      </c>
      <c r="U33" s="21" t="n">
        <v>0</v>
      </c>
      <c r="V33" s="20" t="inlineStr">
        <is>
          <t>-</t>
        </is>
      </c>
      <c r="W33" s="26" t="n">
        <v>0</v>
      </c>
      <c r="X33" s="21" t="inlineStr">
        <is>
          <t>-</t>
        </is>
      </c>
      <c r="Y33" s="26" t="n">
        <v>0</v>
      </c>
      <c r="Z33" s="26">
        <f>S30+T30+W30</f>
        <v/>
      </c>
      <c r="AA33" s="26">
        <f>K30+L30+M30+IFERROR(VLOOKUP(B30,RemitTable2,9,FALSE()),0)+Y30+Z30</f>
        <v/>
      </c>
      <c r="AB33" s="27" t="n">
        <v>1</v>
      </c>
      <c r="AC33" s="26">
        <f>ROUND(AA30/AB30,0)</f>
        <v/>
      </c>
      <c r="AD33" s="20" t="inlineStr">
        <is>
          <t>2025-12</t>
        </is>
      </c>
      <c r="AE33" s="153" t="inlineStr">
        <is>
          <t>2025-12-01</t>
        </is>
      </c>
      <c r="AF33" s="152" t="inlineStr">
        <is>
          <t>2026-11-30</t>
        </is>
      </c>
    </row>
    <row r="34" ht="15.75" customHeight="1">
      <c r="A34" s="20" t="n">
        <v>30</v>
      </c>
      <c r="B34" s="20" t="inlineStr">
        <is>
          <t>CPO681</t>
        </is>
      </c>
      <c r="C34" s="21" t="inlineStr">
        <is>
          <t>Christie</t>
        </is>
      </c>
      <c r="D34" s="20" t="inlineStr">
        <is>
          <t>Net 45 days</t>
        </is>
      </c>
      <c r="E34" s="21" t="inlineStr">
        <is>
          <t>워런티(EW)</t>
        </is>
      </c>
      <c r="F34" s="152" t="n">
        <v>45993</v>
      </c>
      <c r="G34" s="153" t="n">
        <v>46064</v>
      </c>
      <c r="H34" s="24" t="n">
        <v>26358</v>
      </c>
      <c r="I34" s="154">
        <f>IFERROR(VLOOKUP(B31,RemitTable2,7,FALSE()),0)</f>
        <v/>
      </c>
      <c r="J34" s="26" t="n">
        <v>38550844</v>
      </c>
      <c r="K34" s="26">
        <f>IFERROR(ROUND(H31*I31,0),0)</f>
        <v/>
      </c>
      <c r="L34" s="26">
        <f>IFERROR(VLOOKUP(B31,RemitTable2,10,FALSE()),0)</f>
        <v/>
      </c>
      <c r="M34" s="26">
        <f>IFERROR(VLOOKUP(B31,RemitTable2,11,FALSE()),0)</f>
        <v/>
      </c>
      <c r="N34" s="20" t="inlineStr">
        <is>
          <t>EW CP2309/2315/2320-RGB</t>
        </is>
      </c>
      <c r="O34" s="20" t="inlineStr">
        <is>
          <t>-</t>
        </is>
      </c>
      <c r="P34" s="20" t="inlineStr">
        <is>
          <t>-</t>
        </is>
      </c>
      <c r="Q34" s="26">
        <f>IF(P31="","",IFERROR(VLOOKUP(O31,FxRateTable,4,TRUE()),""))</f>
        <v/>
      </c>
      <c r="R34" s="26">
        <f>IF(P31="","",H31)</f>
        <v/>
      </c>
      <c r="S34" s="26" t="n">
        <v>0</v>
      </c>
      <c r="T34" s="26" t="n">
        <v>0</v>
      </c>
      <c r="U34" s="21" t="n">
        <v>0</v>
      </c>
      <c r="V34" s="20" t="inlineStr">
        <is>
          <t>-</t>
        </is>
      </c>
      <c r="W34" s="26" t="n">
        <v>0</v>
      </c>
      <c r="X34" s="21" t="inlineStr">
        <is>
          <t>-</t>
        </is>
      </c>
      <c r="Y34" s="26" t="n">
        <v>0</v>
      </c>
      <c r="Z34" s="26">
        <f>S31+T31+W31</f>
        <v/>
      </c>
      <c r="AA34" s="26">
        <f>K31+L31+M31+IFERROR(VLOOKUP(B31,RemitTable2,9,FALSE()),0)+Y31+Z31</f>
        <v/>
      </c>
      <c r="AB34" s="27" t="n">
        <v>1</v>
      </c>
      <c r="AC34" s="26">
        <f>ROUND(AA31/AB31,0)</f>
        <v/>
      </c>
      <c r="AD34" s="20" t="inlineStr">
        <is>
          <t>2025-12</t>
        </is>
      </c>
      <c r="AE34" s="153" t="inlineStr">
        <is>
          <t>2025-12-22</t>
        </is>
      </c>
      <c r="AF34" s="152" t="inlineStr">
        <is>
          <t>2026-12-21</t>
        </is>
      </c>
    </row>
    <row r="35" ht="15.75" customHeight="1">
      <c r="A35" s="20" t="n">
        <v>31</v>
      </c>
      <c r="B35" s="20" t="inlineStr">
        <is>
          <t>GPO459</t>
        </is>
      </c>
      <c r="C35" s="21" t="inlineStr">
        <is>
          <t>GDC</t>
        </is>
      </c>
      <c r="D35" s="20" t="inlineStr">
        <is>
          <t>Net 30 days</t>
        </is>
      </c>
      <c r="E35" s="21" t="inlineStr">
        <is>
          <t>워런티(EW)</t>
        </is>
      </c>
      <c r="F35" s="152" t="n">
        <v>46007</v>
      </c>
      <c r="G35" s="153" t="n">
        <v>46043</v>
      </c>
      <c r="H35" s="24" t="n">
        <v>450</v>
      </c>
      <c r="I35" s="154">
        <f>IFERROR(VLOOKUP(B32,RemitTable2,7,FALSE()),0)</f>
        <v/>
      </c>
      <c r="J35" s="26" t="n">
        <v>5505104</v>
      </c>
      <c r="K35" s="26">
        <f>IFERROR(ROUND(H32*I32,0),0)</f>
        <v/>
      </c>
      <c r="L35" s="26">
        <f>IFERROR(VLOOKUP(B32,RemitTable2,10,FALSE()),0)</f>
        <v/>
      </c>
      <c r="M35" s="26">
        <f>IFERROR(VLOOKUP(B32,RemitTable2,11,FALSE()),0)</f>
        <v/>
      </c>
      <c r="N35" s="20" t="inlineStr">
        <is>
          <t>TMS-2000 EW</t>
        </is>
      </c>
      <c r="O35" s="20" t="inlineStr">
        <is>
          <t>-</t>
        </is>
      </c>
      <c r="P35" s="20" t="inlineStr">
        <is>
          <t>-</t>
        </is>
      </c>
      <c r="Q35" s="26">
        <f>IF(P32="","",IFERROR(VLOOKUP(O32,FxRateTable,4,TRUE()),""))</f>
        <v/>
      </c>
      <c r="R35" s="26">
        <f>IF(P32="","",H32)</f>
        <v/>
      </c>
      <c r="S35" s="26" t="n">
        <v>0</v>
      </c>
      <c r="T35" s="26" t="n">
        <v>0</v>
      </c>
      <c r="U35" s="21" t="n">
        <v>0</v>
      </c>
      <c r="V35" s="20" t="inlineStr">
        <is>
          <t>-</t>
        </is>
      </c>
      <c r="W35" s="26" t="n">
        <v>0</v>
      </c>
      <c r="X35" s="21" t="inlineStr">
        <is>
          <t>-</t>
        </is>
      </c>
      <c r="Y35" s="26" t="n">
        <v>0</v>
      </c>
      <c r="Z35" s="26">
        <f>S32+T32+W32</f>
        <v/>
      </c>
      <c r="AA35" s="26">
        <f>K32+L32+M32+IFERROR(VLOOKUP(B32,RemitTable2,9,FALSE()),0)+Y32+Z32</f>
        <v/>
      </c>
      <c r="AB35" s="27" t="n">
        <v>1</v>
      </c>
      <c r="AC35" s="26">
        <f>ROUND(AA32/AB32,0)</f>
        <v/>
      </c>
      <c r="AD35" s="20" t="inlineStr">
        <is>
          <t>2026-01</t>
        </is>
      </c>
      <c r="AE35" s="153" t="inlineStr">
        <is>
          <t>2026-01-01</t>
        </is>
      </c>
      <c r="AF35" s="152" t="inlineStr">
        <is>
          <t>2026-12-31</t>
        </is>
      </c>
    </row>
    <row r="36" ht="15.75" customHeight="1">
      <c r="A36" s="20" t="n">
        <v>32</v>
      </c>
      <c r="B36" s="20" t="inlineStr">
        <is>
          <t>GPO461</t>
        </is>
      </c>
      <c r="C36" s="21" t="inlineStr">
        <is>
          <t>GDC</t>
        </is>
      </c>
      <c r="D36" s="20" t="inlineStr">
        <is>
          <t>Net 30 days</t>
        </is>
      </c>
      <c r="E36" s="21" t="inlineStr">
        <is>
          <t>워런티(EW)</t>
        </is>
      </c>
      <c r="F36" s="152" t="n">
        <v>46007</v>
      </c>
      <c r="G36" s="153" t="n">
        <v>46043</v>
      </c>
      <c r="H36" s="24" t="n">
        <v>540</v>
      </c>
      <c r="I36" s="154">
        <f>IFERROR(VLOOKUP(B33,RemitTable2,7,FALSE()),0)</f>
        <v/>
      </c>
      <c r="J36" s="26" t="n">
        <v>5505104</v>
      </c>
      <c r="K36" s="26">
        <f>IFERROR(ROUND(H33*I33,0),0)</f>
        <v/>
      </c>
      <c r="L36" s="26">
        <f>IFERROR(VLOOKUP(B33,RemitTable2,10,FALSE()),0)</f>
        <v/>
      </c>
      <c r="M36" s="26">
        <f>IFERROR(VLOOKUP(B33,RemitTable2,11,FALSE()),0)</f>
        <v/>
      </c>
      <c r="N36" s="20" t="inlineStr">
        <is>
          <t>TMS-1000 EW</t>
        </is>
      </c>
      <c r="O36" s="20" t="inlineStr">
        <is>
          <t>-</t>
        </is>
      </c>
      <c r="P36" s="20" t="inlineStr">
        <is>
          <t>-</t>
        </is>
      </c>
      <c r="Q36" s="26">
        <f>IF(P33="","",IFERROR(VLOOKUP(O33,FxRateTable,4,TRUE()),""))</f>
        <v/>
      </c>
      <c r="R36" s="26">
        <f>IF(P33="","",H33)</f>
        <v/>
      </c>
      <c r="S36" s="26" t="n">
        <v>0</v>
      </c>
      <c r="T36" s="26" t="n">
        <v>0</v>
      </c>
      <c r="U36" s="21" t="n">
        <v>0</v>
      </c>
      <c r="V36" s="20" t="inlineStr">
        <is>
          <t>-</t>
        </is>
      </c>
      <c r="W36" s="26" t="n">
        <v>0</v>
      </c>
      <c r="X36" s="21" t="inlineStr">
        <is>
          <t>-</t>
        </is>
      </c>
      <c r="Y36" s="26" t="n">
        <v>0</v>
      </c>
      <c r="Z36" s="26">
        <f>S33+T33+W33</f>
        <v/>
      </c>
      <c r="AA36" s="26">
        <f>K33+L33+M33+IFERROR(VLOOKUP(B33,RemitTable2,9,FALSE()),0)+Y33+Z33</f>
        <v/>
      </c>
      <c r="AB36" s="27" t="n">
        <v>1</v>
      </c>
      <c r="AC36" s="26">
        <f>ROUND(AA33/AB33,0)</f>
        <v/>
      </c>
      <c r="AD36" s="20" t="inlineStr">
        <is>
          <t>2025-11</t>
        </is>
      </c>
      <c r="AE36" s="153" t="inlineStr">
        <is>
          <t>2025-11-01</t>
        </is>
      </c>
      <c r="AF36" s="152" t="inlineStr">
        <is>
          <t>2026-10-30</t>
        </is>
      </c>
    </row>
    <row r="37" ht="15.75" customHeight="1">
      <c r="A37" s="20" t="n">
        <v>33</v>
      </c>
      <c r="B37" s="20" t="inlineStr">
        <is>
          <t>CPO685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52" t="n">
        <v>46010</v>
      </c>
      <c r="G37" s="153" t="n">
        <v>46080</v>
      </c>
      <c r="H37" s="24" t="n">
        <v>136516</v>
      </c>
      <c r="I37" s="154">
        <f>IFERROR(VLOOKUP(B34,RemitTable2,7,FALSE()),0)</f>
        <v/>
      </c>
      <c r="J37" s="26" t="n">
        <v>205028994</v>
      </c>
      <c r="K37" s="26">
        <f>IFERROR(ROUND(H34*I34,0),0)</f>
        <v/>
      </c>
      <c r="L37" s="26">
        <f>IFERROR(VLOOKUP(B34,RemitTable2,10,FALSE()),0)</f>
        <v/>
      </c>
      <c r="M37" s="26">
        <f>IFERROR(VLOOKUP(B34,RemitTable2,11,FALSE()),0)</f>
        <v/>
      </c>
      <c r="N37" s="20" t="inlineStr">
        <is>
          <t>EW 대량 (CP2208~CP4450)</t>
        </is>
      </c>
      <c r="O37" s="20" t="inlineStr">
        <is>
          <t>-</t>
        </is>
      </c>
      <c r="P37" s="20" t="inlineStr">
        <is>
          <t>-</t>
        </is>
      </c>
      <c r="Q37" s="26">
        <f>IF(P34="","",IFERROR(VLOOKUP(O34,FxRateTable,4,TRUE()),""))</f>
        <v/>
      </c>
      <c r="R37" s="26">
        <f>IF(P34="","",H34)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S34+T34+W34</f>
        <v/>
      </c>
      <c r="AA37" s="26">
        <f>K34+L34+M34+IFERROR(VLOOKUP(B34,RemitTable2,9,FALSE()),0)+Y34+Z34</f>
        <v/>
      </c>
      <c r="AB37" s="27" t="n">
        <v>1</v>
      </c>
      <c r="AC37" s="26">
        <f>ROUND(AA34/AB34,0)</f>
        <v/>
      </c>
      <c r="AD37" s="20" t="inlineStr">
        <is>
          <t>2026-01</t>
        </is>
      </c>
      <c r="AE37" s="153" t="inlineStr">
        <is>
          <t>2026-01-01</t>
        </is>
      </c>
      <c r="AF37" s="152" t="inlineStr">
        <is>
          <t>2026-12-31</t>
        </is>
      </c>
    </row>
    <row r="38" ht="15.75" customHeight="1">
      <c r="A38" s="20" t="n">
        <v>34</v>
      </c>
      <c r="B38" s="20" t="inlineStr">
        <is>
          <t>GPO465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워런티(EW)</t>
        </is>
      </c>
      <c r="F38" s="152" t="n">
        <v>46015</v>
      </c>
      <c r="G38" s="153" t="inlineStr">
        <is>
          <t>-</t>
        </is>
      </c>
      <c r="H38" s="24" t="n">
        <v>76054</v>
      </c>
      <c r="I38" s="154">
        <f>IFERROR(VLOOKUP(B35,RemitTable2,7,FALSE()),0)</f>
        <v/>
      </c>
      <c r="J38" s="26" t="n">
        <v>0</v>
      </c>
      <c r="K38" s="26">
        <f>IFERROR(ROUND(H35*I35,0),0)</f>
        <v/>
      </c>
      <c r="L38" s="26">
        <f>IFERROR(VLOOKUP(B35,RemitTable2,10,FALSE()),0)</f>
        <v/>
      </c>
      <c r="M38" s="26">
        <f>IFERROR(VLOOKUP(B35,RemitTable2,11,FALSE()),0)</f>
        <v/>
      </c>
      <c r="N38" s="20" t="inlineStr">
        <is>
          <t>EW 대량 (SR/SX/TMS)</t>
        </is>
      </c>
      <c r="O38" s="20" t="inlineStr">
        <is>
          <t>-</t>
        </is>
      </c>
      <c r="P38" s="20" t="inlineStr">
        <is>
          <t>-</t>
        </is>
      </c>
      <c r="Q38" s="26">
        <f>IF(P35="","",IFERROR(VLOOKUP(O35,FxRateTable,4,TRUE()),""))</f>
        <v/>
      </c>
      <c r="R38" s="26">
        <f>IF(P35="","",H35)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S35+T35+W35</f>
        <v/>
      </c>
      <c r="AA38" s="26">
        <f>K35+L35+M35+IFERROR(VLOOKUP(B35,RemitTable2,9,FALSE()),0)+Y35+Z35</f>
        <v/>
      </c>
      <c r="AB38" s="27" t="n">
        <v>1</v>
      </c>
      <c r="AC38" s="26">
        <f>ROUND(AA35/AB35,0)</f>
        <v/>
      </c>
      <c r="AD38" s="20" t="inlineStr">
        <is>
          <t>2026-01</t>
        </is>
      </c>
      <c r="AE38" s="153" t="inlineStr">
        <is>
          <t>2026-01-01</t>
        </is>
      </c>
      <c r="AF38" s="152" t="inlineStr">
        <is>
          <t>2026-12-31</t>
        </is>
      </c>
    </row>
    <row r="39" ht="15.75" customHeight="1">
      <c r="A39" s="20" t="n">
        <v>35</v>
      </c>
      <c r="B39" s="20" t="inlineStr">
        <is>
          <t>CPO686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52" t="n">
        <v>46029</v>
      </c>
      <c r="G39" s="153" t="n">
        <v>46072</v>
      </c>
      <c r="H39" s="24" t="n">
        <v>14793</v>
      </c>
      <c r="I39" s="154">
        <f>IFERROR(VLOOKUP(B36,RemitTable2,7,FALSE()),0)</f>
        <v/>
      </c>
      <c r="J39" s="26" t="n">
        <v>25506948</v>
      </c>
      <c r="K39" s="26">
        <f>IFERROR(ROUND(H36*I36,0),0)</f>
        <v/>
      </c>
      <c r="L39" s="26">
        <f>IFERROR(VLOOKUP(B36,RemitTable2,10,FALSE()),0)</f>
        <v/>
      </c>
      <c r="M39" s="26">
        <f>IFERROR(VLOOKUP(B36,RemitTable2,11,FALSE()),0)</f>
        <v/>
      </c>
      <c r="N39" s="20" t="inlineStr">
        <is>
          <t>EW CP2315/CP4440-RGB</t>
        </is>
      </c>
      <c r="O39" s="20" t="inlineStr">
        <is>
          <t>-</t>
        </is>
      </c>
      <c r="P39" s="20" t="inlineStr">
        <is>
          <t>-</t>
        </is>
      </c>
      <c r="Q39" s="26">
        <f>IF(P36="","",IFERROR(VLOOKUP(O36,FxRateTable,4,TRUE()),""))</f>
        <v/>
      </c>
      <c r="R39" s="26">
        <f>IF(P36="","",H36)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S36+T36+W36</f>
        <v/>
      </c>
      <c r="AA39" s="26">
        <f>K36+L36+M36+IFERROR(VLOOKUP(B36,RemitTable2,9,FALSE()),0)+Y36+Z36</f>
        <v/>
      </c>
      <c r="AB39" s="27" t="n">
        <v>1</v>
      </c>
      <c r="AC39" s="26">
        <f>ROUND(AA36/AB36,0)</f>
        <v/>
      </c>
      <c r="AD39" s="20" t="inlineStr">
        <is>
          <t>2026-01</t>
        </is>
      </c>
      <c r="AE39" s="153" t="inlineStr">
        <is>
          <t>2026-01-30</t>
        </is>
      </c>
      <c r="AF39" s="152" t="inlineStr">
        <is>
          <t>2027-01-29</t>
        </is>
      </c>
    </row>
    <row r="40" ht="15.75" customHeight="1">
      <c r="A40" s="20" t="n">
        <v>36</v>
      </c>
      <c r="B40" s="20" t="inlineStr">
        <is>
          <t>CPO687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52" t="n">
        <v>46029</v>
      </c>
      <c r="G40" s="153" t="inlineStr">
        <is>
          <t>-</t>
        </is>
      </c>
      <c r="H40" s="24" t="n">
        <v>26656</v>
      </c>
      <c r="I40" s="154">
        <f>IFERROR(VLOOKUP(B37,RemitTable2,7,FALSE()),0)</f>
        <v/>
      </c>
      <c r="J40" s="26" t="n">
        <v>0</v>
      </c>
      <c r="K40" s="26">
        <f>IFERROR(ROUND(H37*I37,0),0)</f>
        <v/>
      </c>
      <c r="L40" s="26">
        <f>IFERROR(VLOOKUP(B37,RemitTable2,10,FALSE()),0)</f>
        <v/>
      </c>
      <c r="M40" s="26">
        <f>IFERROR(VLOOKUP(B37,RemitTable2,11,FALSE()),0)</f>
        <v/>
      </c>
      <c r="N40" s="20" t="inlineStr">
        <is>
          <t>EW (홀딩)</t>
        </is>
      </c>
      <c r="O40" s="20" t="inlineStr">
        <is>
          <t>-</t>
        </is>
      </c>
      <c r="P40" s="20" t="inlineStr">
        <is>
          <t>-</t>
        </is>
      </c>
      <c r="Q40" s="26">
        <f>IF(P37="","",IFERROR(VLOOKUP(O37,FxRateTable,4,TRUE()),""))</f>
        <v/>
      </c>
      <c r="R40" s="26">
        <f>IF(P37="","",H37)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S37+T37+W37</f>
        <v/>
      </c>
      <c r="AA40" s="26">
        <f>K37+L37+M37+IFERROR(VLOOKUP(B37,RemitTable2,9,FALSE()),0)+Y37+Z37</f>
        <v/>
      </c>
      <c r="AB40" s="27" t="n">
        <v>1</v>
      </c>
      <c r="AC40" s="26">
        <f>ROUND(AA37/AB37,0)</f>
        <v/>
      </c>
      <c r="AD40" s="20" t="inlineStr">
        <is>
          <t>2026-01</t>
        </is>
      </c>
      <c r="AE40" s="153" t="inlineStr">
        <is>
          <t>-</t>
        </is>
      </c>
      <c r="AF40" s="152" t="inlineStr">
        <is>
          <t>-</t>
        </is>
      </c>
    </row>
    <row r="41" ht="15.75" customHeight="1">
      <c r="A41" s="20" t="n">
        <v>37</v>
      </c>
      <c r="B41" s="20" t="inlineStr">
        <is>
          <t>GPO462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52" t="n">
        <v>46042</v>
      </c>
      <c r="G41" s="153" t="n">
        <v>46057</v>
      </c>
      <c r="H41" s="24" t="n">
        <v>1440</v>
      </c>
      <c r="I41" s="154">
        <f>IFERROR(VLOOKUP(B38,RemitTable2,7,FALSE()),0)</f>
        <v/>
      </c>
      <c r="J41" s="26" t="n">
        <v>16908206</v>
      </c>
      <c r="K41" s="26">
        <f>IFERROR(ROUND(H38*I38,0),0)</f>
        <v/>
      </c>
      <c r="L41" s="26">
        <f>IFERROR(VLOOKUP(B38,RemitTable2,10,FALSE()),0)</f>
        <v/>
      </c>
      <c r="M41" s="26">
        <f>IFERROR(VLOOKUP(B38,RemitTable2,11,FALSE()),0)</f>
        <v/>
      </c>
      <c r="N41" s="20" t="inlineStr">
        <is>
          <t>TMS-2000 License</t>
        </is>
      </c>
      <c r="O41" s="20" t="inlineStr">
        <is>
          <t>-</t>
        </is>
      </c>
      <c r="P41" s="20" t="inlineStr">
        <is>
          <t>-</t>
        </is>
      </c>
      <c r="Q41" s="26">
        <f>IF(P38="","",IFERROR(VLOOKUP(O38,FxRateTable,4,TRUE()),""))</f>
        <v/>
      </c>
      <c r="R41" s="26">
        <f>IF(P38="","",H38)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S38+T38+W38</f>
        <v/>
      </c>
      <c r="AA41" s="26">
        <f>K38+L38+M38+IFERROR(VLOOKUP(B38,RemitTable2,9,FALSE()),0)+Y38+Z38</f>
        <v/>
      </c>
      <c r="AB41" s="27" t="n">
        <v>1</v>
      </c>
      <c r="AC41" s="26">
        <f>ROUND(AA38/AB38,0)</f>
        <v/>
      </c>
      <c r="AD41" s="20" t="inlineStr">
        <is>
          <t>2026-01</t>
        </is>
      </c>
      <c r="AE41" s="153" t="inlineStr">
        <is>
          <t>2026-01-01</t>
        </is>
      </c>
      <c r="AF41" s="152" t="inlineStr">
        <is>
          <t>2026-12-31</t>
        </is>
      </c>
    </row>
    <row r="42" ht="15.75" customHeight="1">
      <c r="A42" s="20" t="n">
        <v>38</v>
      </c>
      <c r="B42" s="20" t="inlineStr">
        <is>
          <t>GPO463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52" t="n">
        <v>46042</v>
      </c>
      <c r="G42" s="153" t="n">
        <v>46057</v>
      </c>
      <c r="H42" s="24" t="n">
        <v>4489</v>
      </c>
      <c r="I42" s="154">
        <f>IFERROR(VLOOKUP(B39,RemitTable2,7,FALSE()),0)</f>
        <v/>
      </c>
      <c r="J42" s="26" t="n">
        <v>16908206</v>
      </c>
      <c r="K42" s="26">
        <f>IFERROR(ROUND(H39*I39,0),0)</f>
        <v/>
      </c>
      <c r="L42" s="26">
        <f>IFERROR(VLOOKUP(B39,RemitTable2,10,FALSE()),0)</f>
        <v/>
      </c>
      <c r="M42" s="26">
        <f>IFERROR(VLOOKUP(B39,RemitTable2,11,FALSE()),0)</f>
        <v/>
      </c>
      <c r="N42" s="20" t="inlineStr">
        <is>
          <t>SX/SR EW (CGV/Lotte)</t>
        </is>
      </c>
      <c r="O42" s="20" t="inlineStr">
        <is>
          <t>-</t>
        </is>
      </c>
      <c r="P42" s="20" t="inlineStr">
        <is>
          <t>-</t>
        </is>
      </c>
      <c r="Q42" s="26">
        <f>IF(P39="","",IFERROR(VLOOKUP(O39,FxRateTable,4,TRUE()),""))</f>
        <v/>
      </c>
      <c r="R42" s="26">
        <f>IF(P39="","",H39)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S39+T39+W39</f>
        <v/>
      </c>
      <c r="AA42" s="26">
        <f>K39+L39+M39+IFERROR(VLOOKUP(B39,RemitTable2,9,FALSE()),0)+Y39+Z39</f>
        <v/>
      </c>
      <c r="AB42" s="27" t="n">
        <v>1</v>
      </c>
      <c r="AC42" s="26">
        <f>ROUND(AA39/AB39,0)</f>
        <v/>
      </c>
      <c r="AD42" s="20" t="inlineStr">
        <is>
          <t>2026-01</t>
        </is>
      </c>
      <c r="AE42" s="153" t="inlineStr">
        <is>
          <t>2026-01-01</t>
        </is>
      </c>
      <c r="AF42" s="152" t="inlineStr">
        <is>
          <t>2026-12-31</t>
        </is>
      </c>
    </row>
    <row r="43" ht="15.75" customHeight="1">
      <c r="A43" s="20" t="n">
        <v>39</v>
      </c>
      <c r="B43" s="20" t="inlineStr">
        <is>
          <t>GPO464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52" t="n">
        <v>46042</v>
      </c>
      <c r="G43" s="153" t="n">
        <v>46057</v>
      </c>
      <c r="H43" s="24" t="n">
        <v>5670.57</v>
      </c>
      <c r="I43" s="154">
        <f>IFERROR(VLOOKUP(B40,RemitTable2,7,FALSE()),0)</f>
        <v/>
      </c>
      <c r="J43" s="26" t="n">
        <v>16908206</v>
      </c>
      <c r="K43" s="26">
        <f>IFERROR(ROUND(H40*I40,0),0)</f>
        <v/>
      </c>
      <c r="L43" s="26">
        <f>IFERROR(VLOOKUP(B40,RemitTable2,10,FALSE()),0)</f>
        <v/>
      </c>
      <c r="M43" s="26">
        <f>IFERROR(VLOOKUP(B40,RemitTable2,11,FALSE()),0)</f>
        <v/>
      </c>
      <c r="N43" s="20" t="inlineStr">
        <is>
          <t>SR-1000/SX-3000 EW</t>
        </is>
      </c>
      <c r="O43" s="20" t="inlineStr">
        <is>
          <t>-</t>
        </is>
      </c>
      <c r="P43" s="20" t="inlineStr">
        <is>
          <t>-</t>
        </is>
      </c>
      <c r="Q43" s="26">
        <f>IF(P40="","",IFERROR(VLOOKUP(O40,FxRateTable,4,TRUE()),""))</f>
        <v/>
      </c>
      <c r="R43" s="26">
        <f>IF(P40="","",H40)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S40+T40+W40</f>
        <v/>
      </c>
      <c r="AA43" s="26">
        <f>K40+L40+M40+IFERROR(VLOOKUP(B40,RemitTable2,9,FALSE()),0)+Y40+Z40</f>
        <v/>
      </c>
      <c r="AB43" s="27" t="n">
        <v>1</v>
      </c>
      <c r="AC43" s="26">
        <f>ROUND(AA40/AB40,0)</f>
        <v/>
      </c>
      <c r="AD43" s="20" t="inlineStr">
        <is>
          <t>2026-01</t>
        </is>
      </c>
      <c r="AE43" s="153" t="inlineStr">
        <is>
          <t>2026-01-01</t>
        </is>
      </c>
      <c r="AF43" s="152" t="inlineStr">
        <is>
          <t>2026-12-31</t>
        </is>
      </c>
    </row>
    <row r="44" ht="15.75" customHeight="1">
      <c r="A44" s="20" t="n">
        <v>40</v>
      </c>
      <c r="B44" s="20" t="inlineStr">
        <is>
          <t>CPO691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52" t="n">
        <v>46057</v>
      </c>
      <c r="G44" s="153" t="n">
        <v>46113</v>
      </c>
      <c r="H44" s="24" t="n">
        <v>24614</v>
      </c>
      <c r="I44" s="154">
        <f>IFERROR(VLOOKUP(B41,RemitTable2,7,FALSE()),0)</f>
        <v/>
      </c>
      <c r="J44" s="26" t="n">
        <v>51777431</v>
      </c>
      <c r="K44" s="26">
        <f>IFERROR(ROUND(H41*I41,0),0)</f>
        <v/>
      </c>
      <c r="L44" s="26">
        <f>IFERROR(VLOOKUP(B41,RemitTable2,10,FALSE()),0)</f>
        <v/>
      </c>
      <c r="M44" s="26">
        <f>IFERROR(VLOOKUP(B41,RemitTable2,11,FALSE()),0)</f>
        <v/>
      </c>
      <c r="N44" s="20" t="inlineStr">
        <is>
          <t>EW (메가박스 외)</t>
        </is>
      </c>
      <c r="O44" s="20" t="inlineStr">
        <is>
          <t>-</t>
        </is>
      </c>
      <c r="P44" s="20" t="inlineStr">
        <is>
          <t>-</t>
        </is>
      </c>
      <c r="Q44" s="26">
        <f>IF(P41="","",IFERROR(VLOOKUP(O41,FxRateTable,4,TRUE()),""))</f>
        <v/>
      </c>
      <c r="R44" s="26">
        <f>IF(P41="","",H41)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S41+T41+W41</f>
        <v/>
      </c>
      <c r="AA44" s="26">
        <f>K41+L41+M41+IFERROR(VLOOKUP(B41,RemitTable2,9,FALSE()),0)+Y41+Z41</f>
        <v/>
      </c>
      <c r="AB44" s="27" t="n">
        <v>1</v>
      </c>
      <c r="AC44" s="26">
        <f>ROUND(AA41/AB41,0)</f>
        <v/>
      </c>
      <c r="AD44" s="20" t="inlineStr">
        <is>
          <t>2026-03</t>
        </is>
      </c>
      <c r="AE44" s="153" t="inlineStr">
        <is>
          <t>2026-03-01</t>
        </is>
      </c>
      <c r="AF44" s="152" t="inlineStr">
        <is>
          <t>2027-02-28</t>
        </is>
      </c>
    </row>
    <row r="45" ht="15.75" customHeight="1">
      <c r="A45" s="20" t="n">
        <v>41</v>
      </c>
      <c r="B45" s="20" t="inlineStr">
        <is>
          <t>GPO469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52" t="n">
        <v>46060</v>
      </c>
      <c r="G45" s="153" t="n">
        <v>46113</v>
      </c>
      <c r="H45" s="24" t="n">
        <v>3993.05</v>
      </c>
      <c r="I45" s="154">
        <f>IFERROR(VLOOKUP(B42,RemitTable2,7,FALSE()),0)</f>
        <v/>
      </c>
      <c r="J45" s="26" t="n">
        <v>9919642</v>
      </c>
      <c r="K45" s="26">
        <f>IFERROR(ROUND(H42*I42,0),0)</f>
        <v/>
      </c>
      <c r="L45" s="26">
        <f>IFERROR(VLOOKUP(B42,RemitTable2,10,FALSE()),0)</f>
        <v/>
      </c>
      <c r="M45" s="26">
        <f>IFERROR(VLOOKUP(B42,RemitTable2,11,FALSE()),0)</f>
        <v/>
      </c>
      <c r="N45" s="20" t="inlineStr">
        <is>
          <t>SR/SX EW (하남미사 외)</t>
        </is>
      </c>
      <c r="O45" s="20" t="inlineStr">
        <is>
          <t>-</t>
        </is>
      </c>
      <c r="P45" s="20" t="inlineStr">
        <is>
          <t>-</t>
        </is>
      </c>
      <c r="Q45" s="26">
        <f>IF(P42="","",IFERROR(VLOOKUP(O42,FxRateTable,4,TRUE()),""))</f>
        <v/>
      </c>
      <c r="R45" s="26">
        <f>IF(P42="","",H42)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S42+T42+W42</f>
        <v/>
      </c>
      <c r="AA45" s="26">
        <f>K42+L42+M42+IFERROR(VLOOKUP(B42,RemitTable2,9,FALSE()),0)+Y42+Z42</f>
        <v/>
      </c>
      <c r="AB45" s="27" t="n">
        <v>1</v>
      </c>
      <c r="AC45" s="26">
        <f>ROUND(AA42/AB42,0)</f>
        <v/>
      </c>
      <c r="AD45" s="20" t="inlineStr">
        <is>
          <t>2026-01</t>
        </is>
      </c>
      <c r="AE45" s="153" t="inlineStr">
        <is>
          <t>2026-01-01</t>
        </is>
      </c>
      <c r="AF45" s="152" t="inlineStr">
        <is>
          <t>2027-02-22</t>
        </is>
      </c>
    </row>
    <row r="46" ht="15.75" customHeight="1">
      <c r="A46" s="20" t="n">
        <v>42</v>
      </c>
      <c r="B46" s="20" t="inlineStr">
        <is>
          <t>GPO470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52" t="n">
        <v>46080</v>
      </c>
      <c r="G46" s="153" t="n">
        <v>46113</v>
      </c>
      <c r="H46" s="24" t="n">
        <v>360</v>
      </c>
      <c r="I46" s="154">
        <f>IFERROR(VLOOKUP(B43,RemitTable2,7,FALSE()),0)</f>
        <v/>
      </c>
      <c r="J46" s="26" t="n">
        <v>9919642</v>
      </c>
      <c r="K46" s="26">
        <f>IFERROR(ROUND(H43*I43,0),0)</f>
        <v/>
      </c>
      <c r="L46" s="26">
        <f>IFERROR(VLOOKUP(B43,RemitTable2,10,FALSE()),0)</f>
        <v/>
      </c>
      <c r="M46" s="26">
        <f>IFERROR(VLOOKUP(B43,RemitTable2,11,FALSE()),0)</f>
        <v/>
      </c>
      <c r="N46" s="20" t="inlineStr">
        <is>
          <t>TMS-1000 License</t>
        </is>
      </c>
      <c r="O46" s="20" t="inlineStr">
        <is>
          <t>-</t>
        </is>
      </c>
      <c r="P46" s="20" t="inlineStr">
        <is>
          <t>-</t>
        </is>
      </c>
      <c r="Q46" s="26">
        <f>IF(P43="","",IFERROR(VLOOKUP(O43,FxRateTable,4,TRUE()),""))</f>
        <v/>
      </c>
      <c r="R46" s="26">
        <f>IF(P43="","",H43)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S43+T43+W43</f>
        <v/>
      </c>
      <c r="AA46" s="26">
        <f>K43+L43+M43+IFERROR(VLOOKUP(B43,RemitTable2,9,FALSE()),0)+Y43+Z43</f>
        <v/>
      </c>
      <c r="AB46" s="27" t="n">
        <v>1</v>
      </c>
      <c r="AC46" s="26">
        <f>ROUND(AA43/AB43,0)</f>
        <v/>
      </c>
      <c r="AD46" s="20" t="inlineStr">
        <is>
          <t>2026-03</t>
        </is>
      </c>
      <c r="AE46" s="153" t="inlineStr">
        <is>
          <t>2026-03-01</t>
        </is>
      </c>
      <c r="AF46" s="152" t="inlineStr">
        <is>
          <t>2027-02-28</t>
        </is>
      </c>
    </row>
    <row r="47" ht="15.75" customHeight="1">
      <c r="A47" s="20" t="n">
        <v>43</v>
      </c>
      <c r="B47" s="20" t="inlineStr">
        <is>
          <t>GPO471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라이센스</t>
        </is>
      </c>
      <c r="F47" s="152" t="n">
        <v>46088</v>
      </c>
      <c r="G47" s="153" t="n">
        <v>46113</v>
      </c>
      <c r="H47" s="24" t="n">
        <v>500</v>
      </c>
      <c r="I47" s="154">
        <f>IFERROR(VLOOKUP(B44,RemitTable2,7,FALSE()),0)</f>
        <v/>
      </c>
      <c r="J47" s="26" t="n">
        <v>9919642</v>
      </c>
      <c r="K47" s="26">
        <f>IFERROR(ROUND(H44*I44,0),0)</f>
        <v/>
      </c>
      <c r="L47" s="26">
        <f>IFERROR(VLOOKUP(B44,RemitTable2,10,FALSE()),0)</f>
        <v/>
      </c>
      <c r="M47" s="26">
        <f>IFERROR(VLOOKUP(B44,RemitTable2,11,FALSE()),0)</f>
        <v/>
      </c>
      <c r="N47" s="20" t="inlineStr">
        <is>
          <t>Dolby Atmos License</t>
        </is>
      </c>
      <c r="O47" s="20" t="inlineStr">
        <is>
          <t>-</t>
        </is>
      </c>
      <c r="P47" s="20" t="inlineStr">
        <is>
          <t>-</t>
        </is>
      </c>
      <c r="Q47" s="26">
        <f>IF(P44="","",IFERROR(VLOOKUP(O44,FxRateTable,4,TRUE()),""))</f>
        <v/>
      </c>
      <c r="R47" s="26">
        <f>IF(P44="","",H44)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S44+T44+W44</f>
        <v/>
      </c>
      <c r="AA47" s="26">
        <f>K44+L44+M44+IFERROR(VLOOKUP(B44,RemitTable2,9,FALSE()),0)+Y44+Z44</f>
        <v/>
      </c>
      <c r="AB47" s="27" t="n">
        <v>1</v>
      </c>
      <c r="AC47" s="26">
        <f>ROUND(AA44/AB44,0)</f>
        <v/>
      </c>
      <c r="AD47" s="20" t="inlineStr">
        <is>
          <t>2026-03</t>
        </is>
      </c>
      <c r="AE47" s="153" t="inlineStr">
        <is>
          <t>-</t>
        </is>
      </c>
      <c r="AF47" s="152" t="inlineStr">
        <is>
          <t>-</t>
        </is>
      </c>
    </row>
    <row r="48" ht="15.75" customHeight="1">
      <c r="A48" s="20" t="n">
        <v>44</v>
      </c>
      <c r="B48" s="20" t="inlineStr">
        <is>
          <t>CPO694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52" t="n">
        <v>46109</v>
      </c>
      <c r="G48" s="153" t="n">
        <v>46146</v>
      </c>
      <c r="H48" s="24" t="n">
        <v>17404</v>
      </c>
      <c r="I48" s="154">
        <f>IFERROR(VLOOKUP(B48,RemitTable2,7,FALSE()),0)</f>
        <v/>
      </c>
      <c r="J48" s="26" t="n">
        <v>0</v>
      </c>
      <c r="K48" s="26">
        <f>IFERROR(ROUND(H48*I48,0),0)</f>
        <v/>
      </c>
      <c r="L48" s="26">
        <f>IFERROR(VLOOKUP(B48,RemitTable2,10,FALSE()),0)</f>
        <v/>
      </c>
      <c r="M48" s="26">
        <f>IFERROR(VLOOKUP(B48,RemitTable2,11,FALSE()),0)</f>
        <v/>
      </c>
      <c r="N48" s="20" t="inlineStr">
        <is>
          <t>EW (CGV 동백 외)</t>
        </is>
      </c>
      <c r="O48" s="20" t="inlineStr">
        <is>
          <t>-</t>
        </is>
      </c>
      <c r="P48" s="20" t="inlineStr">
        <is>
          <t>-</t>
        </is>
      </c>
      <c r="Q48" s="26">
        <f>IF(P48="","",IFERROR(VLOOKUP(O48,FxRateTable,4,TRUE()),""))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K48+L48+M48+IFERROR(VLOOKUP(B48,RemitTable2,9,FALSE()),0)+Y48+Z48</f>
        <v/>
      </c>
      <c r="AB48" s="27" t="n">
        <v>1</v>
      </c>
      <c r="AC48" s="26">
        <f>ROUND(AA48/AB48,0)</f>
        <v/>
      </c>
      <c r="AD48" s="20" t="inlineStr">
        <is>
          <t>2026-04</t>
        </is>
      </c>
      <c r="AE48" s="153" t="inlineStr">
        <is>
          <t>2026-04-01</t>
        </is>
      </c>
      <c r="AF48" s="152" t="inlineStr">
        <is>
          <t>2027-03-31</t>
        </is>
      </c>
    </row>
    <row r="49" ht="15.75" customHeight="1">
      <c r="A49" s="85" t="n">
        <v>45</v>
      </c>
      <c r="B49" s="85" t="inlineStr">
        <is>
          <t>CPO697</t>
        </is>
      </c>
      <c r="C49" s="85" t="inlineStr">
        <is>
          <t>Christie</t>
        </is>
      </c>
      <c r="D49" s="85" t="inlineStr">
        <is>
          <t>Net 45 days</t>
        </is>
      </c>
      <c r="E49" s="85" t="inlineStr">
        <is>
          <t>워런티(EW)</t>
        </is>
      </c>
      <c r="F49" s="155" t="n">
        <v>46136</v>
      </c>
      <c r="G49" s="155" t="inlineStr">
        <is>
          <t>-</t>
        </is>
      </c>
      <c r="H49" s="87" t="n">
        <v>15289</v>
      </c>
      <c r="I49" s="156">
        <f>IFERROR(VLOOKUP(B49,RemitTable2,7,FALSE()),0)</f>
        <v/>
      </c>
      <c r="J49" s="89" t="n">
        <v>0</v>
      </c>
      <c r="K49" s="89">
        <f>IFERROR(ROUND(H49*I49,0),0)</f>
        <v/>
      </c>
      <c r="L49" s="89">
        <f>IFERROR(VLOOKUP(B49,RemitTable2,10,FALSE()),0)</f>
        <v/>
      </c>
      <c r="M49" s="89">
        <f>IFERROR(VLOOKUP(B49,RemitTable2,11,FALSE()),0)</f>
        <v/>
      </c>
      <c r="N49" s="85" t="inlineStr">
        <is>
          <t>EW CP4425/CP2308/CP2315/CP2309/CP2320 13대 (메가박스 북대구 외)</t>
        </is>
      </c>
      <c r="O49" s="155" t="inlineStr">
        <is>
          <t>-</t>
        </is>
      </c>
      <c r="P49" s="85" t="inlineStr">
        <is>
          <t>-</t>
        </is>
      </c>
      <c r="Q49" s="157">
        <f>IF(P49="","",IFERROR(VLOOKUP(O49,FxRateTable,4,TRUE()),""))</f>
        <v/>
      </c>
      <c r="R49" s="87">
        <f>IF(P49="","",H49)</f>
        <v/>
      </c>
      <c r="S49" s="89" t="n">
        <v>0</v>
      </c>
      <c r="T49" s="89" t="n">
        <v>0</v>
      </c>
      <c r="U49" s="155" t="n"/>
      <c r="V49" s="85" t="inlineStr">
        <is>
          <t>-</t>
        </is>
      </c>
      <c r="W49" s="89" t="n">
        <v>0</v>
      </c>
      <c r="X49" s="85" t="inlineStr">
        <is>
          <t>-</t>
        </is>
      </c>
      <c r="Y49" s="89" t="n">
        <v>0</v>
      </c>
      <c r="Z49" s="89">
        <f>S49+T49+W49</f>
        <v/>
      </c>
      <c r="AA49" s="89">
        <f>K49+L49+M49+IFERROR(VLOOKUP(B49,RemitTable2,9,FALSE()),0)+Y49+Z49</f>
        <v/>
      </c>
      <c r="AB49" s="90" t="n">
        <v>1</v>
      </c>
      <c r="AC49" s="89">
        <f>ROUND(AA49/AB49,0)</f>
        <v/>
      </c>
      <c r="AD49" s="85" t="inlineStr">
        <is>
          <t>2026-04</t>
        </is>
      </c>
      <c r="AE49" s="155" t="n"/>
      <c r="AF49" s="155" t="n"/>
    </row>
    <row r="50" ht="15.75" customHeight="1">
      <c r="A50" s="85" t="n">
        <v>46</v>
      </c>
      <c r="B50" s="85" t="inlineStr">
        <is>
          <t>CPO693-2</t>
        </is>
      </c>
      <c r="C50" s="85" t="inlineStr">
        <is>
          <t>Christie</t>
        </is>
      </c>
      <c r="D50" s="85" t="inlineStr">
        <is>
          <t>Net 45 days</t>
        </is>
      </c>
      <c r="E50" s="85" t="inlineStr">
        <is>
          <t>워런티(EW)</t>
        </is>
      </c>
      <c r="F50" s="155" t="n">
        <v>46133</v>
      </c>
      <c r="G50" s="155" t="inlineStr">
        <is>
          <t>-</t>
        </is>
      </c>
      <c r="H50" s="87" t="n">
        <v>2550</v>
      </c>
      <c r="I50" s="156">
        <f>IFERROR(VLOOKUP(B50,RemitTable2,7,FALSE()),0)</f>
        <v/>
      </c>
      <c r="J50" s="89" t="n">
        <v>0</v>
      </c>
      <c r="K50" s="89">
        <f>IFERROR(ROUND(H50*I50,0),0)</f>
        <v/>
      </c>
      <c r="L50" s="89">
        <f>IFERROR(VLOOKUP(B50,RemitTable2,10,FALSE()),0)</f>
        <v/>
      </c>
      <c r="M50" s="89">
        <f>IFERROR(VLOOKUP(B50,RemitTable2,11,FALSE()),0)</f>
        <v/>
      </c>
      <c r="N50" s="85" t="inlineStr">
        <is>
          <t>CP4420-RGB 2년 워런티 (CGV 구미)</t>
        </is>
      </c>
      <c r="O50" s="155" t="inlineStr">
        <is>
          <t>-</t>
        </is>
      </c>
      <c r="P50" s="85" t="inlineStr">
        <is>
          <t>-</t>
        </is>
      </c>
      <c r="Q50" s="157">
        <f>IF(P50="","",IFERROR(VLOOKUP(O50,FxRateTable,4,TRUE()),""))</f>
        <v/>
      </c>
      <c r="R50" s="87">
        <f>IF(P50="","",H50)</f>
        <v/>
      </c>
      <c r="S50" s="89" t="n">
        <v>0</v>
      </c>
      <c r="T50" s="89" t="n">
        <v>0</v>
      </c>
      <c r="U50" s="155" t="n"/>
      <c r="V50" s="85" t="inlineStr">
        <is>
          <t>-</t>
        </is>
      </c>
      <c r="W50" s="89" t="n">
        <v>0</v>
      </c>
      <c r="X50" s="85" t="inlineStr">
        <is>
          <t>-</t>
        </is>
      </c>
      <c r="Y50" s="89" t="n">
        <v>0</v>
      </c>
      <c r="Z50" s="89">
        <f>S50+T50+W50</f>
        <v/>
      </c>
      <c r="AA50" s="89">
        <f>K50+L50+M50+IFERROR(VLOOKUP(B50,RemitTable2,9,FALSE()),0)+Y50+Z50</f>
        <v/>
      </c>
      <c r="AB50" s="90" t="n">
        <v>1</v>
      </c>
      <c r="AC50" s="89">
        <f>ROUND(AA50/AB50,0)</f>
        <v/>
      </c>
      <c r="AD50" s="85" t="inlineStr">
        <is>
          <t>2026-04</t>
        </is>
      </c>
      <c r="AE50" s="155" t="n"/>
      <c r="AF50" s="155" t="n"/>
    </row>
    <row r="51" ht="15.75" customHeight="1">
      <c r="A51" s="12" t="n">
        <v>47</v>
      </c>
      <c r="B51" s="12" t="inlineStr">
        <is>
          <t>CPO688</t>
        </is>
      </c>
      <c r="C51" s="13" t="inlineStr">
        <is>
          <t>Christie</t>
        </is>
      </c>
      <c r="D51" s="12" t="inlineStr">
        <is>
          <t>Net 45 days</t>
        </is>
      </c>
      <c r="E51" s="13" t="inlineStr">
        <is>
          <t>Inspection</t>
        </is>
      </c>
      <c r="F51" s="146" t="n">
        <v>46037</v>
      </c>
      <c r="G51" s="147" t="inlineStr">
        <is>
          <t>-</t>
        </is>
      </c>
      <c r="H51" s="16" t="n">
        <v>4180</v>
      </c>
      <c r="I51" s="148">
        <f>IFERROR(VLOOKUP(B46,RemitTable2,7,FALSE()),0)</f>
        <v/>
      </c>
      <c r="J51" s="18" t="n">
        <v>0</v>
      </c>
      <c r="K51" s="18">
        <f>IFERROR(ROUND(H46*I46,0),0)</f>
        <v/>
      </c>
      <c r="L51" s="18">
        <f>IFERROR(VLOOKUP(B46,RemitTable2,10,FALSE()),0)</f>
        <v/>
      </c>
      <c r="M51" s="18">
        <f>IFERROR(VLOOKUP(B46,RemitTable2,11,FALSE()),0)</f>
        <v/>
      </c>
      <c r="N51" s="12" t="inlineStr">
        <is>
          <t>Inspection fee</t>
        </is>
      </c>
      <c r="O51" s="12" t="inlineStr">
        <is>
          <t>-</t>
        </is>
      </c>
      <c r="P51" s="12" t="inlineStr">
        <is>
          <t>-</t>
        </is>
      </c>
      <c r="Q51" s="18">
        <f>IF(P46="","",IFERROR(VLOOKUP(O46,FxRateTable,4,TRUE()),""))</f>
        <v/>
      </c>
      <c r="R51" s="18">
        <f>IF(P46="","",H46)</f>
        <v/>
      </c>
      <c r="S51" s="18" t="n">
        <v>0</v>
      </c>
      <c r="T51" s="18" t="n">
        <v>0</v>
      </c>
      <c r="U51" s="13" t="n">
        <v>0</v>
      </c>
      <c r="V51" s="12" t="inlineStr">
        <is>
          <t>-</t>
        </is>
      </c>
      <c r="W51" s="18" t="n">
        <v>0</v>
      </c>
      <c r="X51" s="13" t="inlineStr">
        <is>
          <t>-</t>
        </is>
      </c>
      <c r="Y51" s="18" t="n">
        <v>0</v>
      </c>
      <c r="Z51" s="18">
        <f>S46+T46+W46</f>
        <v/>
      </c>
      <c r="AA51" s="18">
        <f>K46+L46+M46+IFERROR(VLOOKUP(B46,RemitTable2,9,FALSE()),0)+Y46+Z46</f>
        <v/>
      </c>
      <c r="AB51" s="19" t="n">
        <v>1</v>
      </c>
      <c r="AC51" s="18">
        <f>ROUND(AA46/AB46,0)</f>
        <v/>
      </c>
      <c r="AD51" s="12" t="inlineStr">
        <is>
          <t>2026-01</t>
        </is>
      </c>
      <c r="AE51" s="147" t="inlineStr">
        <is>
          <t>-</t>
        </is>
      </c>
      <c r="AF51" s="146" t="inlineStr">
        <is>
          <t>-</t>
        </is>
      </c>
    </row>
    <row r="52" ht="15.75" customHeight="1">
      <c r="A52" s="12" t="n">
        <v>48</v>
      </c>
      <c r="B52" s="12" t="inlineStr">
        <is>
          <t>SX3000수리</t>
        </is>
      </c>
      <c r="C52" s="13" t="inlineStr">
        <is>
          <t>GDC</t>
        </is>
      </c>
      <c r="D52" s="12" t="inlineStr">
        <is>
          <t>-</t>
        </is>
      </c>
      <c r="E52" s="13" t="inlineStr">
        <is>
          <t>수리반환</t>
        </is>
      </c>
      <c r="F52" s="146" t="n"/>
      <c r="G52" s="147" t="n"/>
      <c r="H52" s="16" t="n">
        <v>400</v>
      </c>
      <c r="I52" s="148">
        <f>IFERROR(VLOOKUP(B47,RemitTable2,7,FALSE()),0)</f>
        <v/>
      </c>
      <c r="J52" s="18" t="n">
        <v>0</v>
      </c>
      <c r="K52" s="18">
        <f>IFERROR(ROUND(H47*I47,0),0)</f>
        <v/>
      </c>
      <c r="L52" s="18">
        <f>IFERROR(VLOOKUP(B47,RemitTable2,10,FALSE()),0)</f>
        <v/>
      </c>
      <c r="M52" s="18">
        <f>IFERROR(VLOOKUP(B47,RemitTable2,11,FALSE()),0)</f>
        <v/>
      </c>
      <c r="N52" s="12" t="inlineStr">
        <is>
          <t>Display Card (수리반환 5PCS)</t>
        </is>
      </c>
      <c r="O52" s="12" t="n">
        <v>46125</v>
      </c>
      <c r="P52" s="12" t="inlineStr">
        <is>
          <t>2235626351613M</t>
        </is>
      </c>
      <c r="Q52" s="18">
        <f>IF(P47="","",IFERROR(VLOOKUP(O47,FxRateTable,4,TRUE()),""))</f>
        <v/>
      </c>
      <c r="R52" s="18">
        <f>IF(P47="","",H47)</f>
        <v/>
      </c>
      <c r="S52" s="18" t="n">
        <v>0</v>
      </c>
      <c r="T52" s="18" t="n">
        <v>67750</v>
      </c>
      <c r="U52" s="13" t="n"/>
      <c r="V52" s="12" t="inlineStr">
        <is>
          <t>운서합동</t>
        </is>
      </c>
      <c r="W52" s="18" t="n">
        <v>0</v>
      </c>
      <c r="X52" s="13" t="inlineStr">
        <is>
          <t>DHL</t>
        </is>
      </c>
      <c r="Y52" s="18" t="n">
        <v>0</v>
      </c>
      <c r="Z52" s="18">
        <f>S47+T47+W47</f>
        <v/>
      </c>
      <c r="AA52" s="18">
        <f>K47+L47+M47+IFERROR(VLOOKUP(B47,RemitTable2,9,FALSE()),0)+Y47+Z47</f>
        <v/>
      </c>
      <c r="AB52" s="19" t="n">
        <v>5</v>
      </c>
      <c r="AC52" s="18">
        <f>ROUND(AA47/AB47,0)</f>
        <v/>
      </c>
      <c r="AD52" s="12" t="inlineStr">
        <is>
          <t>2026-04</t>
        </is>
      </c>
      <c r="AE52" s="147" t="n"/>
      <c r="AF52" s="146" t="n"/>
    </row>
    <row r="53" ht="15.75" customHeight="1">
      <c r="A53" s="3" t="n">
        <v>49</v>
      </c>
      <c r="B53" s="3" t="inlineStr">
        <is>
          <t>IPO016</t>
        </is>
      </c>
      <c r="C53" s="4" t="inlineStr">
        <is>
          <t>Integ Process Group</t>
        </is>
      </c>
      <c r="D53" s="3" t="inlineStr">
        <is>
          <t>50% TT advance, 50% Net 30</t>
        </is>
      </c>
      <c r="E53" s="4" t="inlineStr">
        <is>
          <t>부품</t>
        </is>
      </c>
      <c r="F53" s="143" t="n">
        <v>45881</v>
      </c>
      <c r="G53" s="144" t="n">
        <v>46146</v>
      </c>
      <c r="H53" s="7" t="n">
        <v>6800</v>
      </c>
      <c r="I53" s="145">
        <f>IFERROR(VLOOKUP(B53,RemitTable2,7,FALSE()),0)</f>
        <v/>
      </c>
      <c r="J53" s="9" t="n">
        <v>0</v>
      </c>
      <c r="K53" s="9">
        <f>IFERROR(ROUND(H53*I53,0),0)</f>
        <v/>
      </c>
      <c r="L53" s="9">
        <f>IFERROR(VLOOKUP(B53,RemitTable2,10,FALSE()),0)</f>
        <v/>
      </c>
      <c r="M53" s="9">
        <f>IFERROR(VLOOKUP(B53,RemitTable2,11,FALSE()),0)</f>
        <v/>
      </c>
      <c r="N53" s="3" t="inlineStr">
        <is>
          <t>JNIOR Model 410 (20EA)</t>
        </is>
      </c>
      <c r="O53" s="144" t="n">
        <v>45905</v>
      </c>
      <c r="P53" s="3" t="inlineStr">
        <is>
          <t>883504210357</t>
        </is>
      </c>
      <c r="Q53" s="7">
        <f>IF(P53="","",IFERROR(VLOOKUP(O53,FxRateTable,4,TRUE()),""))</f>
        <v/>
      </c>
      <c r="R53" s="7">
        <f>IF(P53="","",H53)</f>
        <v/>
      </c>
      <c r="S53" s="9" t="n">
        <v>0</v>
      </c>
      <c r="T53" s="9" t="n">
        <v>954760</v>
      </c>
      <c r="U53" s="143" t="n">
        <v>45905</v>
      </c>
      <c r="V53" s="3" t="inlineStr">
        <is>
          <t>인천세관</t>
        </is>
      </c>
      <c r="W53" s="9" t="n">
        <v>0</v>
      </c>
      <c r="X53" s="4" t="inlineStr">
        <is>
          <t>DHL</t>
        </is>
      </c>
      <c r="Y53" s="9" t="n">
        <v>0</v>
      </c>
      <c r="Z53" s="9">
        <f>S53+T53+W53</f>
        <v/>
      </c>
      <c r="AA53" s="175">
        <f>K53+L53+M53+IFERROR(VLOOKUP(B53,RemitTable2,9,FALSE()),0)+Y53+Z53</f>
        <v/>
      </c>
      <c r="AB53" s="11" t="n">
        <v>20</v>
      </c>
      <c r="AC53" s="175">
        <f>ROUND(AA53/AB53,0)</f>
        <v/>
      </c>
      <c r="AD53" s="3" t="inlineStr">
        <is>
          <t>2026-05</t>
        </is>
      </c>
      <c r="AE53" s="3" t="inlineStr">
        <is>
          <t>-</t>
        </is>
      </c>
      <c r="AF53" s="4" t="inlineStr">
        <is>
          <t>-</t>
        </is>
      </c>
    </row>
    <row r="54" ht="15.75" customHeight="1">
      <c r="A54" s="125" t="inlineStr">
        <is>
          <t>장비/부품 합계</t>
        </is>
      </c>
      <c r="B54" s="126" t="n"/>
      <c r="C54" s="126" t="n"/>
      <c r="D54" s="126" t="n"/>
      <c r="E54" s="126" t="n"/>
      <c r="F54" s="126" t="n"/>
      <c r="G54" s="127" t="n"/>
      <c r="H54" s="91">
        <f>SUBTOTAL(9,H5:H31,H53)</f>
        <v/>
      </c>
      <c r="I54" s="92" t="n"/>
      <c r="J54" s="93">
        <f>SUBTOTAL(9,J5:J31,J53)</f>
        <v/>
      </c>
      <c r="K54" s="93">
        <f>SUBTOTAL(9,K5:K31,K53)</f>
        <v/>
      </c>
      <c r="L54" s="93">
        <f>SUBTOTAL(9,L5:L31,L53)</f>
        <v/>
      </c>
      <c r="M54" s="93">
        <f>SUBTOTAL(9,M5:M28,M53)</f>
        <v/>
      </c>
      <c r="N54" s="92" t="n"/>
      <c r="O54" s="92" t="n"/>
      <c r="P54" s="92" t="n"/>
      <c r="Q54" s="93" t="n"/>
      <c r="R54" s="91" t="n"/>
      <c r="S54" s="93">
        <f>SUBTOTAL(9,S5:S31,S53)</f>
        <v/>
      </c>
      <c r="T54" s="93">
        <f>SUBTOTAL(9,T5:T31,T53)</f>
        <v/>
      </c>
      <c r="U54" s="92" t="n"/>
      <c r="V54" s="92" t="n"/>
      <c r="W54" s="93">
        <f>SUBTOTAL(9,W5:W31,W53)</f>
        <v/>
      </c>
      <c r="X54" s="92" t="n"/>
      <c r="Y54" s="93">
        <f>SUBTOTAL(9,Y5:Y31,Y53)</f>
        <v/>
      </c>
      <c r="Z54" s="93">
        <f>SUBTOTAL(9,Z5:Z31,Z53)</f>
        <v/>
      </c>
      <c r="AA54" s="93">
        <f>SUBTOTAL(9,AA5:AA31,AA53)</f>
        <v/>
      </c>
      <c r="AB54" s="92" t="n"/>
      <c r="AC54" s="92" t="n"/>
      <c r="AD54" s="92" t="n"/>
      <c r="AE54" s="92" t="n"/>
      <c r="AF54" s="92" t="n"/>
    </row>
    <row r="55" ht="15.75" customHeight="1">
      <c r="A55" s="125" t="inlineStr">
        <is>
          <t>라이센스/워런티 합계</t>
        </is>
      </c>
      <c r="B55" s="126" t="n"/>
      <c r="C55" s="126" t="n"/>
      <c r="D55" s="126" t="n"/>
      <c r="E55" s="126" t="n"/>
      <c r="F55" s="126" t="n"/>
      <c r="G55" s="127" t="n"/>
      <c r="H55" s="91">
        <f>SUBTOTAL(9,H32:H50)</f>
        <v/>
      </c>
      <c r="I55" s="92" t="n"/>
      <c r="J55" s="93">
        <f>SUBTOTAL(9,J32:J50)</f>
        <v/>
      </c>
      <c r="K55" s="93">
        <f>SUBTOTAL(9,K32:K50)</f>
        <v/>
      </c>
      <c r="L55" s="93">
        <f>SUBTOTAL(9,L32:L50)</f>
        <v/>
      </c>
      <c r="M55" s="93">
        <f>SUBTOTAL(9,M29:M45)</f>
        <v/>
      </c>
      <c r="N55" s="92" t="n"/>
      <c r="O55" s="92" t="n"/>
      <c r="P55" s="92" t="n"/>
      <c r="Q55" s="93" t="n"/>
      <c r="R55" s="91" t="n"/>
      <c r="S55" s="93">
        <f>SUBTOTAL(9,S32:S50)</f>
        <v/>
      </c>
      <c r="T55" s="93">
        <f>SUBTOTAL(9,T32:T50)</f>
        <v/>
      </c>
      <c r="U55" s="92" t="n"/>
      <c r="V55" s="92" t="n"/>
      <c r="W55" s="93">
        <f>SUBTOTAL(9,W32:W50)</f>
        <v/>
      </c>
      <c r="X55" s="92" t="n"/>
      <c r="Y55" s="93">
        <f>SUBTOTAL(9,Y32:Y50)</f>
        <v/>
      </c>
      <c r="Z55" s="93">
        <f>SUBTOTAL(9,Z32:Z50)</f>
        <v/>
      </c>
      <c r="AA55" s="93">
        <f>SUBTOTAL(9,AA32:AA50)</f>
        <v/>
      </c>
      <c r="AB55" s="92" t="n"/>
      <c r="AC55" s="92" t="n"/>
      <c r="AD55" s="92" t="n"/>
      <c r="AE55" s="92" t="n"/>
      <c r="AF55" s="92" t="n"/>
    </row>
    <row r="56" ht="15.75" customHeight="1">
      <c r="A56" s="125" t="inlineStr">
        <is>
          <t>기타 합계</t>
        </is>
      </c>
      <c r="B56" s="126" t="n"/>
      <c r="C56" s="126" t="n"/>
      <c r="D56" s="126" t="n"/>
      <c r="E56" s="126" t="n"/>
      <c r="F56" s="126" t="n"/>
      <c r="G56" s="127" t="n"/>
      <c r="H56" s="91">
        <f>H51+H52</f>
        <v/>
      </c>
      <c r="I56" s="92" t="n"/>
      <c r="J56" s="93">
        <f>J51+J52</f>
        <v/>
      </c>
      <c r="K56" s="93">
        <f>K51+K52</f>
        <v/>
      </c>
      <c r="L56" s="93">
        <f>L51+L52</f>
        <v/>
      </c>
      <c r="M56" s="93">
        <f>M46+M47</f>
        <v/>
      </c>
      <c r="N56" s="92" t="n"/>
      <c r="O56" s="92" t="n"/>
      <c r="P56" s="92" t="n"/>
      <c r="Q56" s="93" t="n"/>
      <c r="R56" s="91" t="n"/>
      <c r="S56" s="93">
        <f>S51+S52</f>
        <v/>
      </c>
      <c r="T56" s="93">
        <f>T51+T52</f>
        <v/>
      </c>
      <c r="U56" s="92" t="n"/>
      <c r="V56" s="92" t="n"/>
      <c r="W56" s="93">
        <f>W51+W52</f>
        <v/>
      </c>
      <c r="X56" s="92" t="n"/>
      <c r="Y56" s="93">
        <f>Y51+Y52</f>
        <v/>
      </c>
      <c r="Z56" s="93">
        <f>Z51+Z52</f>
        <v/>
      </c>
      <c r="AA56" s="93">
        <f>AA51+AA52</f>
        <v/>
      </c>
      <c r="AB56" s="92" t="n"/>
      <c r="AC56" s="92" t="n"/>
      <c r="AD56" s="92" t="n"/>
      <c r="AE56" s="92" t="n"/>
      <c r="AF56" s="92" t="n"/>
    </row>
    <row r="57" ht="15.75" customHeight="1">
      <c r="A57" s="129" t="inlineStr">
        <is>
          <t>총 합계</t>
        </is>
      </c>
      <c r="B57" s="126" t="n"/>
      <c r="C57" s="126" t="n"/>
      <c r="D57" s="126" t="n"/>
      <c r="E57" s="126" t="n"/>
      <c r="F57" s="126" t="n"/>
      <c r="G57" s="127" t="n"/>
      <c r="H57" s="94">
        <f>SUBTOTAL(9,H5:H53)</f>
        <v/>
      </c>
      <c r="I57" s="95" t="n"/>
      <c r="J57" s="96">
        <f>SUBTOTAL(9,J5:J53)</f>
        <v/>
      </c>
      <c r="K57" s="96">
        <f>SUBTOTAL(9,K5:K53)</f>
        <v/>
      </c>
      <c r="L57" s="96">
        <f>SUBTOTAL(9,L5:L53)</f>
        <v/>
      </c>
      <c r="M57" s="96">
        <f>SUBTOTAL(9,M5:M53)</f>
        <v/>
      </c>
      <c r="N57" s="95" t="n"/>
      <c r="O57" s="95" t="n"/>
      <c r="P57" s="95" t="n"/>
      <c r="Q57" s="96" t="n"/>
      <c r="R57" s="94" t="n"/>
      <c r="S57" s="96">
        <f>SUBTOTAL(9,S5:S53)</f>
        <v/>
      </c>
      <c r="T57" s="96">
        <f>SUBTOTAL(9,T5:T53)</f>
        <v/>
      </c>
      <c r="U57" s="95" t="n"/>
      <c r="V57" s="95" t="n"/>
      <c r="W57" s="96">
        <f>SUBTOTAL(9,W5:W53)</f>
        <v/>
      </c>
      <c r="X57" s="95" t="n"/>
      <c r="Y57" s="96">
        <f>SUBTOTAL(9,Y5:Y53)</f>
        <v/>
      </c>
      <c r="Z57" s="96">
        <f>SUBTOTAL(9,Z5:Z53)</f>
        <v/>
      </c>
      <c r="AA57" s="96">
        <f>SUBTOTAL(9,AA5:AA53)</f>
        <v/>
      </c>
      <c r="AB57" s="95" t="n"/>
      <c r="AC57" s="95" t="n"/>
      <c r="AD57" s="95" t="n"/>
      <c r="AE57" s="95" t="n"/>
      <c r="AF57" s="95" t="n"/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75" t="n"/>
      <c r="Y58" s="39" t="n"/>
      <c r="Z58" s="39" t="n"/>
      <c r="AA58" s="39" t="n"/>
      <c r="AB58" s="39" t="n"/>
      <c r="AC58" s="39" t="n"/>
      <c r="AD58" s="39" t="n"/>
      <c r="AE58" s="39" t="n"/>
      <c r="AF58" s="39" t="n"/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75" t="n"/>
      <c r="Y59" s="39" t="n"/>
      <c r="Z59" s="39" t="n"/>
      <c r="AA59" s="39" t="n"/>
      <c r="AB59" s="39" t="n"/>
      <c r="AC59" s="39" t="n"/>
      <c r="AD59" s="39" t="n"/>
      <c r="AE59" s="39" t="n"/>
      <c r="AF59" s="39" t="n"/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75" t="n"/>
      <c r="Y60" s="39" t="n"/>
      <c r="Z60" s="39" t="n"/>
      <c r="AA60" s="39" t="n"/>
      <c r="AB60" s="39" t="n"/>
      <c r="AC60" s="39" t="n"/>
      <c r="AD60" s="39" t="n"/>
      <c r="AE60" s="39" t="n"/>
      <c r="AF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75" t="n"/>
      <c r="Y61" s="39" t="n"/>
      <c r="Z61" s="39" t="n"/>
      <c r="AA61" s="39" t="n"/>
      <c r="AB61" s="39" t="n"/>
      <c r="AC61" s="39" t="n"/>
      <c r="AD61" s="39" t="n"/>
      <c r="AE61" s="39" t="n"/>
      <c r="AF61" s="39" t="n"/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75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76">
      <c r="M76" s="40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9" customWidth="1" style="73" min="3" max="3"/>
    <col width="12" customWidth="1" style="73" min="4" max="4"/>
    <col width="14" customWidth="1" style="135" min="5" max="5"/>
    <col width="28" customWidth="1" style="73" min="6" max="6"/>
    <col width="12.5" customWidth="1" style="73" min="7" max="10"/>
    <col width="10.6640625" customWidth="1" style="73" min="11" max="11"/>
    <col width="8.6640625" customWidth="1" style="135" min="12" max="15"/>
    <col width="8.6640625" customWidth="1" style="135" min="16" max="16384"/>
  </cols>
  <sheetData>
    <row r="1" ht="24" customHeight="1">
      <c r="A1" s="128" t="inlineStr">
        <is>
          <t>라이센스 / 워런티 계약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4" t="n"/>
      <c r="L1" s="119" t="n"/>
      <c r="M1" s="119" t="n"/>
    </row>
    <row r="2" ht="28" customHeight="1">
      <c r="A2" s="122" t="inlineStr">
        <is>
          <t>No.</t>
        </is>
      </c>
      <c r="B2" s="122" t="inlineStr">
        <is>
          <t>PO No.</t>
        </is>
      </c>
      <c r="C2" s="122" t="inlineStr">
        <is>
          <t>업체</t>
        </is>
      </c>
      <c r="D2" s="122" t="inlineStr">
        <is>
          <t>구분</t>
        </is>
      </c>
      <c r="E2" s="122" t="inlineStr">
        <is>
          <t>Invoice(USD)</t>
        </is>
      </c>
      <c r="F2" s="122" t="inlineStr">
        <is>
          <t>품명</t>
        </is>
      </c>
      <c r="G2" s="122" t="inlineStr">
        <is>
          <t>PO일자</t>
        </is>
      </c>
      <c r="H2" s="122" t="inlineStr">
        <is>
          <t>송금일</t>
        </is>
      </c>
      <c r="I2" s="122" t="inlineStr">
        <is>
          <t>계약시작</t>
        </is>
      </c>
      <c r="J2" s="122" t="inlineStr">
        <is>
          <t>계약종료</t>
        </is>
      </c>
      <c r="K2" s="122" t="inlineStr">
        <is>
          <t>상태</t>
        </is>
      </c>
      <c r="L2" s="120" t="n"/>
      <c r="M2" s="120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53" t="n">
        <v>45925</v>
      </c>
      <c r="H3" s="153" t="n">
        <v>46080</v>
      </c>
      <c r="I3" s="153" t="n">
        <v>45913</v>
      </c>
      <c r="J3" s="153" t="n">
        <v>46262</v>
      </c>
      <c r="K3" s="20" t="inlineStr">
        <is>
          <t>라이센스</t>
        </is>
      </c>
      <c r="L3" s="121" t="n"/>
      <c r="M3" s="121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53" t="n">
        <v>45982</v>
      </c>
      <c r="H4" s="153" t="n">
        <v>46014</v>
      </c>
      <c r="I4" s="153" t="n">
        <v>45992</v>
      </c>
      <c r="J4" s="153" t="n">
        <v>46356</v>
      </c>
      <c r="K4" s="20" t="inlineStr">
        <is>
          <t>라이센스</t>
        </is>
      </c>
      <c r="L4" s="121" t="n"/>
      <c r="M4" s="121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53" t="n">
        <v>45993</v>
      </c>
      <c r="H5" s="153" t="n">
        <v>46064</v>
      </c>
      <c r="I5" s="153" t="n">
        <v>46013</v>
      </c>
      <c r="J5" s="153" t="n">
        <v>46377</v>
      </c>
      <c r="K5" s="20" t="inlineStr">
        <is>
          <t>라이센스</t>
        </is>
      </c>
      <c r="L5" s="121" t="n"/>
      <c r="M5" s="121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53" t="n">
        <v>46007</v>
      </c>
      <c r="H6" s="153" t="n">
        <v>46043</v>
      </c>
      <c r="I6" s="153" t="n">
        <v>46023</v>
      </c>
      <c r="J6" s="153" t="n">
        <v>46387</v>
      </c>
      <c r="K6" s="20" t="inlineStr">
        <is>
          <t>라이센스</t>
        </is>
      </c>
      <c r="L6" s="121" t="n"/>
      <c r="M6" s="121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53" t="n">
        <v>46007</v>
      </c>
      <c r="H7" s="153" t="n">
        <v>46043</v>
      </c>
      <c r="I7" s="153" t="n">
        <v>45962</v>
      </c>
      <c r="J7" s="153" t="n">
        <v>46325</v>
      </c>
      <c r="K7" s="20" t="inlineStr">
        <is>
          <t>라이센스</t>
        </is>
      </c>
      <c r="L7" s="121" t="n"/>
      <c r="M7" s="121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53" t="n">
        <v>46010</v>
      </c>
      <c r="H8" s="153" t="n">
        <v>46080</v>
      </c>
      <c r="I8" s="153" t="n">
        <v>46023</v>
      </c>
      <c r="J8" s="153" t="n">
        <v>46387</v>
      </c>
      <c r="K8" s="20" t="inlineStr">
        <is>
          <t>라이센스</t>
        </is>
      </c>
      <c r="L8" s="121" t="n"/>
      <c r="M8" s="121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53" t="n">
        <v>46015</v>
      </c>
      <c r="H9" s="20" t="inlineStr">
        <is>
          <t>-</t>
        </is>
      </c>
      <c r="I9" s="153" t="n">
        <v>46023</v>
      </c>
      <c r="J9" s="153" t="n">
        <v>46387</v>
      </c>
      <c r="K9" s="20" t="inlineStr">
        <is>
          <t>라이센스</t>
        </is>
      </c>
      <c r="L9" s="121" t="n"/>
      <c r="M9" s="121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53" t="n">
        <v>46029</v>
      </c>
      <c r="H10" s="153" t="n">
        <v>46072</v>
      </c>
      <c r="I10" s="153" t="n">
        <v>46052</v>
      </c>
      <c r="J10" s="153" t="n">
        <v>46416</v>
      </c>
      <c r="K10" s="20" t="inlineStr">
        <is>
          <t>라이센스</t>
        </is>
      </c>
      <c r="L10" s="121" t="n"/>
      <c r="M10" s="121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53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21" t="n"/>
      <c r="M11" s="121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53" t="n">
        <v>46042</v>
      </c>
      <c r="H12" s="153" t="n">
        <v>46057</v>
      </c>
      <c r="I12" s="153" t="n">
        <v>46023</v>
      </c>
      <c r="J12" s="153" t="n">
        <v>46387</v>
      </c>
      <c r="K12" s="20" t="inlineStr">
        <is>
          <t>라이센스</t>
        </is>
      </c>
      <c r="L12" s="121" t="n"/>
      <c r="M12" s="121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53" t="n">
        <v>46042</v>
      </c>
      <c r="H13" s="153" t="n">
        <v>46057</v>
      </c>
      <c r="I13" s="153" t="n">
        <v>46023</v>
      </c>
      <c r="J13" s="153" t="n">
        <v>46387</v>
      </c>
      <c r="K13" s="20" t="inlineStr">
        <is>
          <t>라이센스</t>
        </is>
      </c>
      <c r="L13" s="121" t="n"/>
      <c r="M13" s="121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53" t="n">
        <v>46042</v>
      </c>
      <c r="H14" s="153" t="n">
        <v>46057</v>
      </c>
      <c r="I14" s="153" t="n">
        <v>46023</v>
      </c>
      <c r="J14" s="153" t="n">
        <v>46387</v>
      </c>
      <c r="K14" s="20" t="inlineStr">
        <is>
          <t>라이센스</t>
        </is>
      </c>
      <c r="L14" s="121" t="n"/>
      <c r="M14" s="121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53" t="n">
        <v>46057</v>
      </c>
      <c r="H15" s="153" t="n">
        <v>46113</v>
      </c>
      <c r="I15" s="153" t="n">
        <v>46082</v>
      </c>
      <c r="J15" s="158" t="n">
        <v>46446</v>
      </c>
      <c r="K15" s="20" t="inlineStr">
        <is>
          <t>홀딩</t>
        </is>
      </c>
      <c r="L15" s="121" t="n"/>
      <c r="M15" s="121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53" t="n">
        <v>46060</v>
      </c>
      <c r="H16" s="153" t="n">
        <v>46113</v>
      </c>
      <c r="I16" s="153" t="n">
        <v>46023</v>
      </c>
      <c r="J16" s="158" t="n">
        <v>46440</v>
      </c>
      <c r="K16" s="20" t="inlineStr">
        <is>
          <t>라이센스</t>
        </is>
      </c>
      <c r="L16" s="121" t="n"/>
      <c r="M16" s="121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53" t="n">
        <v>46080</v>
      </c>
      <c r="H17" s="153" t="n">
        <v>46113</v>
      </c>
      <c r="I17" s="153" t="n">
        <v>46082</v>
      </c>
      <c r="J17" s="158" t="n">
        <v>46446</v>
      </c>
      <c r="K17" s="20" t="inlineStr">
        <is>
          <t>라이센스</t>
        </is>
      </c>
      <c r="L17" s="121" t="n"/>
      <c r="M17" s="121" t="n"/>
    </row>
    <row r="18" ht="15.75" customHeight="1">
      <c r="A18" s="77" t="n">
        <v>16</v>
      </c>
      <c r="B18" s="77" t="inlineStr">
        <is>
          <t>GPO471</t>
        </is>
      </c>
      <c r="C18" s="107" t="inlineStr">
        <is>
          <t>GDC</t>
        </is>
      </c>
      <c r="D18" s="107" t="inlineStr">
        <is>
          <t>라이센스</t>
        </is>
      </c>
      <c r="E18" s="108" t="n">
        <v>500</v>
      </c>
      <c r="F18" s="77" t="inlineStr">
        <is>
          <t>Dolby Atmos License</t>
        </is>
      </c>
      <c r="G18" s="158" t="n">
        <v>46088</v>
      </c>
      <c r="H18" s="158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21" t="n"/>
      <c r="M18" s="121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53" t="n">
        <v>46109</v>
      </c>
      <c r="H19" s="20" t="inlineStr">
        <is>
          <t>-</t>
        </is>
      </c>
      <c r="I19" s="153" t="n">
        <v>46113</v>
      </c>
      <c r="J19" s="158" t="n">
        <v>46477</v>
      </c>
      <c r="K19" s="20" t="inlineStr">
        <is>
          <t>라이센스</t>
        </is>
      </c>
      <c r="L19" s="121" t="n"/>
      <c r="M19" s="121" t="n"/>
    </row>
    <row r="20" ht="15.75" customHeight="1">
      <c r="A20" s="109" t="n">
        <v>18</v>
      </c>
      <c r="B20" s="109" t="inlineStr">
        <is>
          <t>CPO697</t>
        </is>
      </c>
      <c r="C20" s="110" t="inlineStr">
        <is>
          <t>Christie</t>
        </is>
      </c>
      <c r="D20" s="110" t="inlineStr">
        <is>
          <t>워런티(EW)</t>
        </is>
      </c>
      <c r="E20" s="111" t="n">
        <v>15289</v>
      </c>
      <c r="F20" s="109" t="inlineStr">
        <is>
          <t>EW CP4425/CP2308/CP2315/CP2309/CP2320 13대</t>
        </is>
      </c>
      <c r="G20" s="159" t="n">
        <v>46136</v>
      </c>
      <c r="H20" s="159" t="inlineStr">
        <is>
          <t>-</t>
        </is>
      </c>
      <c r="I20" s="159" t="n">
        <v>46168</v>
      </c>
      <c r="J20" s="159" t="n">
        <v>46532</v>
      </c>
      <c r="K20" s="109" t="inlineStr">
        <is>
          <t>라이센스</t>
        </is>
      </c>
      <c r="L20" s="121" t="n"/>
      <c r="M20" s="121" t="n"/>
    </row>
    <row r="21" ht="15.75" customHeight="1">
      <c r="A21" s="109" t="n">
        <v>19</v>
      </c>
      <c r="B21" s="109" t="inlineStr">
        <is>
          <t>CPO693-2</t>
        </is>
      </c>
      <c r="C21" s="110" t="inlineStr">
        <is>
          <t>Christie</t>
        </is>
      </c>
      <c r="D21" s="110" t="inlineStr">
        <is>
          <t>워런티(EW)</t>
        </is>
      </c>
      <c r="E21" s="111" t="n">
        <v>2550</v>
      </c>
      <c r="F21" s="109" t="inlineStr">
        <is>
          <t>CP4420-RGB 2년 워런티 (CGV 구미)</t>
        </is>
      </c>
      <c r="G21" s="159" t="n">
        <v>46133</v>
      </c>
      <c r="H21" s="159" t="inlineStr">
        <is>
          <t>-</t>
        </is>
      </c>
      <c r="I21" s="159" t="n">
        <v>46142</v>
      </c>
      <c r="J21" s="159" t="n">
        <v>46872</v>
      </c>
      <c r="K21" s="109" t="inlineStr">
        <is>
          <t>라이센스</t>
        </is>
      </c>
      <c r="L21" s="121" t="n"/>
      <c r="M21" s="121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35" min="1" max="1"/>
    <col width="12" customWidth="1" style="135" min="2" max="2"/>
    <col width="14" customWidth="1" style="135" min="3" max="3"/>
    <col width="8" customWidth="1" style="135" min="4" max="4"/>
    <col width="12.33203125" customWidth="1" style="73" min="5" max="5"/>
    <col width="14" customWidth="1" style="135" min="6" max="6"/>
    <col width="10.1640625" customWidth="1" style="73" min="7" max="7"/>
    <col width="14" customWidth="1" style="135" min="8" max="8"/>
    <col width="10.1640625" customWidth="1" style="73" min="9" max="9"/>
    <col width="20" customWidth="1" style="73" min="10" max="10"/>
    <col width="8.6640625" customWidth="1" style="135" min="11" max="14"/>
    <col width="8.6640625" customWidth="1" style="135" min="15" max="16384"/>
  </cols>
  <sheetData>
    <row r="1" ht="24" customHeight="1">
      <c r="A1" s="128" t="inlineStr">
        <is>
          <t>합배송 비용안분 상세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4" t="n"/>
      <c r="K1" s="119" t="n"/>
      <c r="L1" s="119" t="n"/>
      <c r="M1" s="119" t="n"/>
    </row>
    <row r="2" ht="15.75" customHeight="1">
      <c r="A2" s="132" t="inlineStr">
        <is>
          <t>수입신고번호별 PO 그룹핑 및 비용 배분  |  오렌지 = 합배송  |  녹색 = 단독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4" t="n"/>
      <c r="K2" s="120" t="n"/>
      <c r="L2" s="120" t="n"/>
      <c r="M2" s="120" t="n"/>
    </row>
    <row r="3" ht="28" customHeight="1">
      <c r="A3" s="122" t="inlineStr">
        <is>
          <t>수입신고번호</t>
        </is>
      </c>
      <c r="B3" s="122" t="inlineStr">
        <is>
          <t>PO No.</t>
        </is>
      </c>
      <c r="C3" s="122" t="inlineStr">
        <is>
          <t>Invoice(USD)</t>
        </is>
      </c>
      <c r="D3" s="122" t="inlineStr">
        <is>
          <t>비율(%)</t>
        </is>
      </c>
      <c r="E3" s="122" t="inlineStr">
        <is>
          <t>관세사</t>
        </is>
      </c>
      <c r="F3" s="122" t="inlineStr">
        <is>
          <t>관세사비(배분)</t>
        </is>
      </c>
      <c r="G3" s="122" t="inlineStr">
        <is>
          <t>운송사</t>
        </is>
      </c>
      <c r="H3" s="122" t="inlineStr">
        <is>
          <t>운송료(배분)</t>
        </is>
      </c>
      <c r="I3" s="122" t="inlineStr">
        <is>
          <t>합배송여부</t>
        </is>
      </c>
      <c r="J3" s="122" t="inlineStr">
        <is>
          <t>비고</t>
        </is>
      </c>
      <c r="K3" s="121" t="n"/>
      <c r="L3" s="121" t="n"/>
      <c r="M3" s="121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60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21" t="n"/>
      <c r="L4" s="121" t="n"/>
      <c r="M4" s="121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60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21" t="n"/>
      <c r="L5" s="121" t="n"/>
      <c r="M5" s="121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61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21" t="n"/>
      <c r="L6" s="121" t="n"/>
      <c r="M6" s="121" t="n"/>
    </row>
    <row r="7" ht="15.75" customHeight="1">
      <c r="A7" s="30" t="n"/>
      <c r="B7" s="30" t="inlineStr">
        <is>
          <t>CPO680</t>
        </is>
      </c>
      <c r="C7" s="42" t="n">
        <v>252</v>
      </c>
      <c r="D7" s="161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21" t="n"/>
      <c r="L7" s="121" t="n"/>
      <c r="M7" s="121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60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21" t="n"/>
      <c r="L8" s="121" t="n"/>
      <c r="M8" s="121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61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21" t="n"/>
      <c r="L9" s="121" t="n"/>
      <c r="M9" s="121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61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21" t="n"/>
      <c r="L10" s="121" t="n"/>
      <c r="M10" s="121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61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21" t="n"/>
      <c r="L11" s="121" t="n"/>
      <c r="M11" s="121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61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21" t="n"/>
      <c r="L12" s="121" t="n"/>
      <c r="M12" s="121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60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21" t="n"/>
      <c r="L13" s="121" t="n"/>
      <c r="M13" s="121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61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21" t="n"/>
      <c r="L14" s="121" t="n"/>
      <c r="M14" s="121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61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21" t="n"/>
      <c r="L15" s="121" t="n"/>
      <c r="M15" s="121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60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21" t="n"/>
      <c r="L16" s="121" t="n"/>
      <c r="M16" s="121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60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21" t="n"/>
      <c r="L17" s="121" t="n"/>
      <c r="M17" s="121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60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21" t="n"/>
      <c r="L18" s="121" t="n"/>
      <c r="M18" s="121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60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21" t="n"/>
      <c r="L19" s="121" t="n"/>
      <c r="M19" s="121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60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21" t="n"/>
      <c r="L20" s="121" t="n"/>
      <c r="M20" s="121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60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21" t="n"/>
      <c r="L21" s="121" t="n"/>
      <c r="M21" s="121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60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21" t="n"/>
      <c r="L22" s="121" t="n"/>
      <c r="M22" s="121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60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21" t="n"/>
      <c r="L23" s="121" t="n"/>
      <c r="M23" s="121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60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21" t="n"/>
      <c r="L24" s="121" t="n"/>
      <c r="M24" s="121" t="n"/>
    </row>
    <row r="25" ht="15.75" customHeight="1">
      <c r="A25" s="97" t="inlineStr">
        <is>
          <t>14008-26-101125M</t>
        </is>
      </c>
      <c r="B25" s="97" t="inlineStr">
        <is>
          <t>CPO696-1</t>
        </is>
      </c>
      <c r="C25" s="98" t="n">
        <v>78209</v>
      </c>
      <c r="D25" s="162" t="n">
        <v>1</v>
      </c>
      <c r="E25" s="97" t="inlineStr">
        <is>
          <t>조운관세사</t>
        </is>
      </c>
      <c r="F25" s="100" t="n">
        <v>286000</v>
      </c>
      <c r="G25" s="97" t="inlineStr">
        <is>
          <t>진로직스</t>
        </is>
      </c>
      <c r="H25" s="100" t="n">
        <v>3909069</v>
      </c>
      <c r="I25" s="97" t="inlineStr">
        <is>
          <t>단독</t>
        </is>
      </c>
      <c r="J25" s="97" t="n"/>
      <c r="K25" s="101" t="n"/>
      <c r="L25" s="101" t="n"/>
      <c r="M25" s="121" t="n"/>
    </row>
    <row r="26" ht="15.75" customHeight="1">
      <c r="A26" s="97" t="inlineStr">
        <is>
          <t>14008-26-101129M</t>
        </is>
      </c>
      <c r="B26" s="97" t="inlineStr">
        <is>
          <t>CPO696-2</t>
        </is>
      </c>
      <c r="C26" s="98" t="n">
        <v>8140</v>
      </c>
      <c r="D26" s="162" t="n">
        <v>1</v>
      </c>
      <c r="E26" s="97" t="inlineStr">
        <is>
          <t>조운관세사</t>
        </is>
      </c>
      <c r="F26" s="100" t="n">
        <v>33000</v>
      </c>
      <c r="G26" s="97" t="inlineStr">
        <is>
          <t>진로직스</t>
        </is>
      </c>
      <c r="H26" s="100" t="n">
        <v>846621</v>
      </c>
      <c r="I26" s="97" t="inlineStr">
        <is>
          <t>단독</t>
        </is>
      </c>
      <c r="J26" s="97" t="n"/>
      <c r="K26" s="101" t="n"/>
      <c r="L26" s="101" t="n"/>
      <c r="M26" s="121" t="n"/>
    </row>
    <row r="27" ht="15.75" customHeight="1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</row>
    <row r="28" ht="15.75" customHeight="1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</row>
    <row r="29" ht="15.75" customHeight="1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35" min="1" max="1"/>
    <col width="12" customWidth="1" style="135" min="2" max="2"/>
    <col width="16" customWidth="1" style="135" min="3" max="3"/>
    <col width="24" customWidth="1" style="135" min="4" max="4"/>
    <col width="14" customWidth="1" style="135" min="5" max="5"/>
    <col width="11" customWidth="1" style="135" min="6" max="6"/>
    <col width="15" customWidth="1" style="135" min="7" max="9"/>
    <col width="16" customWidth="1" style="135" min="10" max="11"/>
    <col width="12" customWidth="1" style="135" min="12" max="12"/>
    <col width="8.83203125" customWidth="1" style="135" min="13" max="16"/>
    <col width="8.83203125" customWidth="1" style="135" min="17" max="16384"/>
  </cols>
  <sheetData>
    <row r="1" ht="24" customHeight="1">
      <c r="A1" s="128" t="inlineStr">
        <is>
          <t>① 송금건별 데이터 (송금확인서 기준)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4" t="n"/>
      <c r="M1" s="120" t="n"/>
    </row>
    <row r="2" ht="28" customHeight="1">
      <c r="A2" s="122" t="inlineStr">
        <is>
          <t>No.</t>
        </is>
      </c>
      <c r="B2" s="122" t="inlineStr">
        <is>
          <t>송금일</t>
        </is>
      </c>
      <c r="C2" s="122" t="inlineStr">
        <is>
          <t>수취인</t>
        </is>
      </c>
      <c r="D2" s="122" t="inlineStr">
        <is>
          <t>PO참조</t>
        </is>
      </c>
      <c r="E2" s="122" t="inlineStr">
        <is>
          <t>USD금액</t>
        </is>
      </c>
      <c r="F2" s="122" t="inlineStr">
        <is>
          <t>적용환율</t>
        </is>
      </c>
      <c r="G2" s="122" t="inlineStr">
        <is>
          <t>중개수수료(USD)</t>
        </is>
      </c>
      <c r="H2" s="122" t="inlineStr">
        <is>
          <t>수수료(KRW)</t>
        </is>
      </c>
      <c r="I2" s="122" t="inlineStr">
        <is>
          <t>전신료(KRW)</t>
        </is>
      </c>
      <c r="J2" s="122" t="inlineStr">
        <is>
          <t>KRW총액(실제)</t>
        </is>
      </c>
      <c r="K2" s="122" t="inlineStr">
        <is>
          <t>KRW총액(검증)</t>
        </is>
      </c>
      <c r="L2" s="122" t="inlineStr">
        <is>
          <t>차이</t>
        </is>
      </c>
      <c r="M2" s="120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163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21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163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21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163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21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163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21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163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21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163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21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163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21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163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21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163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21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163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21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163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21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163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21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163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21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163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21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163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21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163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21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163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21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163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21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163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21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163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21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163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21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163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21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163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21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163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21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163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21" t="n"/>
    </row>
    <row r="28" ht="15.75" customHeight="1">
      <c r="A28" s="102" t="n">
        <v>26</v>
      </c>
      <c r="B28" s="102" t="inlineStr">
        <is>
          <t>2026.04.01</t>
        </is>
      </c>
      <c r="C28" s="103" t="inlineStr">
        <is>
          <t>Swank</t>
        </is>
      </c>
      <c r="D28" s="102" t="inlineStr">
        <is>
          <t>(영화 라이센스)</t>
        </is>
      </c>
      <c r="E28" s="104" t="n">
        <v>814</v>
      </c>
      <c r="F28" s="164" t="n">
        <v>1505</v>
      </c>
      <c r="G28" s="102" t="n">
        <v>20</v>
      </c>
      <c r="H28" s="105" t="n">
        <v>5000</v>
      </c>
      <c r="I28" s="105" t="n">
        <v>8000</v>
      </c>
      <c r="J28" s="105" t="n">
        <v>1268170</v>
      </c>
      <c r="K28" s="105">
        <f>ROUND((E28+G28)*F28+H28+I28,0)</f>
        <v/>
      </c>
      <c r="L28" s="106">
        <f>J28-K28</f>
        <v/>
      </c>
      <c r="M28" s="121" t="n"/>
    </row>
    <row r="29" ht="15.75" customHeight="1">
      <c r="A29" s="102" t="n">
        <v>27</v>
      </c>
      <c r="B29" s="102" t="inlineStr">
        <is>
          <t>2026.04.02</t>
        </is>
      </c>
      <c r="C29" s="103" t="inlineStr">
        <is>
          <t>Monoplex</t>
        </is>
      </c>
      <c r="D29" s="102" t="inlineStr">
        <is>
          <t>(영업)</t>
        </is>
      </c>
      <c r="E29" s="104" t="n">
        <v>30000</v>
      </c>
      <c r="F29" s="164" t="n">
        <v>1520.1</v>
      </c>
      <c r="G29" s="102" t="n">
        <v>20</v>
      </c>
      <c r="H29" s="105" t="n">
        <v>25000</v>
      </c>
      <c r="I29" s="105" t="n">
        <v>8000</v>
      </c>
      <c r="J29" s="105" t="n">
        <v>45666402</v>
      </c>
      <c r="K29" s="105">
        <f>ROUND((E29+G29)*F29+H29+I29,0)</f>
        <v/>
      </c>
      <c r="L29" s="106">
        <f>J29-K29</f>
        <v/>
      </c>
      <c r="M29" s="121" t="n"/>
    </row>
    <row r="30" ht="15.75" customHeight="1">
      <c r="A30" s="102" t="n">
        <v>28</v>
      </c>
      <c r="B30" s="102" t="inlineStr">
        <is>
          <t>2026.04.21</t>
        </is>
      </c>
      <c r="C30" s="103" t="inlineStr">
        <is>
          <t>Ferco</t>
        </is>
      </c>
      <c r="D30" s="102" t="inlineStr">
        <is>
          <t>MONOPLEX20260126-01</t>
        </is>
      </c>
      <c r="E30" s="104" t="n">
        <v>25976</v>
      </c>
      <c r="F30" s="164" t="n">
        <v>1473.3</v>
      </c>
      <c r="G30" s="102" t="n">
        <v>20</v>
      </c>
      <c r="H30" s="105" t="n">
        <v>12500</v>
      </c>
      <c r="I30" s="105" t="n">
        <v>8000</v>
      </c>
      <c r="J30" s="105" t="n">
        <v>38320406</v>
      </c>
      <c r="K30" s="105">
        <f>ROUND((E30+G30)*F30+H30+I30,0)</f>
        <v/>
      </c>
      <c r="L30" s="106">
        <f>J30-K30</f>
        <v/>
      </c>
      <c r="M30" s="121" t="n"/>
    </row>
    <row r="31" ht="15.75" customHeight="1">
      <c r="A31" s="102" t="n">
        <v>29</v>
      </c>
      <c r="B31" s="102" t="inlineStr">
        <is>
          <t>2026.04.22</t>
        </is>
      </c>
      <c r="C31" s="103" t="inlineStr">
        <is>
          <t>Christie</t>
        </is>
      </c>
      <c r="D31" s="102" t="inlineStr">
        <is>
          <t>CPO692(692-1, 692-2)</t>
        </is>
      </c>
      <c r="E31" s="104" t="n">
        <v>297580</v>
      </c>
      <c r="F31" s="164" t="n">
        <v>1482.8</v>
      </c>
      <c r="G31" s="102" t="n">
        <v>20</v>
      </c>
      <c r="H31" s="105" t="n">
        <v>12500</v>
      </c>
      <c r="I31" s="105" t="n">
        <v>8000</v>
      </c>
      <c r="J31" s="105" t="n">
        <v>441301780</v>
      </c>
      <c r="K31" s="105">
        <f>ROUND((E31+G31)*F31+H31+I31,0)</f>
        <v/>
      </c>
      <c r="L31" s="106">
        <f>J31-K31</f>
        <v/>
      </c>
      <c r="M31" s="121" t="n"/>
    </row>
    <row r="32" ht="15.75" customHeight="1">
      <c r="A32" s="102" t="n">
        <v>30</v>
      </c>
      <c r="B32" s="102" t="inlineStr">
        <is>
          <t>2026.04.22</t>
        </is>
      </c>
      <c r="C32" s="103" t="inlineStr">
        <is>
          <t>Elicent (EUR)</t>
        </is>
      </c>
      <c r="D32" s="102" t="inlineStr">
        <is>
          <t>EPO18</t>
        </is>
      </c>
      <c r="E32" s="104" t="n">
        <v>4388.4</v>
      </c>
      <c r="F32" s="164" t="n">
        <v>1741.08</v>
      </c>
      <c r="G32" s="102" t="n">
        <v>25</v>
      </c>
      <c r="H32" s="105" t="n">
        <v>10000</v>
      </c>
      <c r="I32" s="105" t="n">
        <v>8000</v>
      </c>
      <c r="J32" s="105" t="n">
        <v>7702082</v>
      </c>
      <c r="K32" s="105">
        <f>ROUND((E32+G32)*F32+H32+I32,0)</f>
        <v/>
      </c>
      <c r="L32" s="106">
        <f>J32-K32</f>
        <v/>
      </c>
      <c r="M32" s="121" t="n"/>
    </row>
    <row r="33" ht="15.75" customHeight="1">
      <c r="A33" s="168" t="n">
        <v>31</v>
      </c>
      <c r="B33" s="168" t="inlineStr">
        <is>
          <t>2026.05.04</t>
        </is>
      </c>
      <c r="C33" s="169" t="inlineStr">
        <is>
          <t>Christie</t>
        </is>
      </c>
      <c r="D33" s="168" t="inlineStr">
        <is>
          <t>CPO694, CPO695-1, CPO695-2</t>
        </is>
      </c>
      <c r="E33" s="170" t="n">
        <v>21439</v>
      </c>
      <c r="F33" s="171" t="n">
        <v>1474.9</v>
      </c>
      <c r="G33" s="168" t="n">
        <v>20</v>
      </c>
      <c r="H33" s="172" t="n">
        <v>12500</v>
      </c>
      <c r="I33" s="172" t="n">
        <v>8000</v>
      </c>
      <c r="J33" s="172" t="n">
        <v>31670379</v>
      </c>
      <c r="K33" s="172">
        <f>ROUND((E33+G33)*F33+H33+I33,0)</f>
        <v/>
      </c>
      <c r="L33" s="173">
        <f>J33-K33</f>
        <v/>
      </c>
      <c r="M33" s="120" t="n"/>
    </row>
    <row r="34" ht="15.75" customHeight="1">
      <c r="A34" s="168" t="n">
        <v>32</v>
      </c>
      <c r="B34" s="168" t="inlineStr">
        <is>
          <t>2026.05.04</t>
        </is>
      </c>
      <c r="C34" s="169" t="inlineStr">
        <is>
          <t>Integ Process Group</t>
        </is>
      </c>
      <c r="D34" s="168" t="inlineStr">
        <is>
          <t>IPO016 (JNR-410)</t>
        </is>
      </c>
      <c r="E34" s="170" t="n">
        <v>6800</v>
      </c>
      <c r="F34" s="171" t="n">
        <v>1475.2</v>
      </c>
      <c r="G34" s="168" t="n">
        <v>20</v>
      </c>
      <c r="H34" s="172" t="n">
        <v>10000</v>
      </c>
      <c r="I34" s="172" t="n">
        <v>8000</v>
      </c>
      <c r="J34" s="172" t="n">
        <v>10078864</v>
      </c>
      <c r="K34" s="172">
        <f>ROUND((E34+G34)*F34+H34+I34,0)</f>
        <v/>
      </c>
      <c r="L34" s="173">
        <f>J34-K34</f>
        <v/>
      </c>
      <c r="M34" s="120" t="n"/>
    </row>
    <row r="35" ht="15.75" customHeight="1">
      <c r="A35" s="128" t="inlineStr">
        <is>
          <t>② PO별 비용 안분 내역</t>
        </is>
      </c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4" t="n"/>
      <c r="M35" s="121" t="n"/>
    </row>
    <row r="36" ht="15.75" customHeight="1">
      <c r="A36" s="122" t="inlineStr">
        <is>
          <t>PO No.</t>
        </is>
      </c>
      <c r="B36" s="122" t="inlineStr">
        <is>
          <t>송금일</t>
        </is>
      </c>
      <c r="C36" s="122" t="inlineStr">
        <is>
          <t>업체</t>
        </is>
      </c>
      <c r="D36" s="122" t="inlineStr">
        <is>
          <t>PO USD</t>
        </is>
      </c>
      <c r="E36" s="122" t="inlineStr">
        <is>
          <t>그룹총USD</t>
        </is>
      </c>
      <c r="F36" s="122" t="inlineStr">
        <is>
          <t>배부비율</t>
        </is>
      </c>
      <c r="G36" s="122" t="inlineStr">
        <is>
          <t>적용환율</t>
        </is>
      </c>
      <c r="H36" s="122" t="inlineStr">
        <is>
          <t>원화환산액</t>
        </is>
      </c>
      <c r="I36" s="122" t="inlineStr">
        <is>
          <t>중개수수료안분</t>
        </is>
      </c>
      <c r="J36" s="122" t="inlineStr">
        <is>
          <t>수수료안분</t>
        </is>
      </c>
      <c r="K36" s="122" t="inlineStr">
        <is>
          <t>전신료안분</t>
        </is>
      </c>
      <c r="L36" s="122" t="inlineStr">
        <is>
          <t>합계</t>
        </is>
      </c>
      <c r="M36" s="121" t="n"/>
    </row>
    <row r="37" ht="15.75" customHeight="1">
      <c r="A37" s="3" t="inlineStr">
        <is>
          <t>CPO678-1</t>
        </is>
      </c>
      <c r="B37" s="3" t="inlineStr">
        <is>
          <t>2025.12.16</t>
        </is>
      </c>
      <c r="C37" s="4" t="inlineStr">
        <is>
          <t>Christie</t>
        </is>
      </c>
      <c r="D37" s="33" t="n">
        <v>139083</v>
      </c>
      <c r="E37" s="33" t="n">
        <v>143557</v>
      </c>
      <c r="F37" s="114">
        <f>D37/E37</f>
        <v/>
      </c>
      <c r="G37" s="33">
        <f>F12</f>
        <v/>
      </c>
      <c r="H37" s="9">
        <f>ROUND(D37*G37,0)</f>
        <v/>
      </c>
      <c r="I37" s="9">
        <f>ROUND(G12*F37*G37,0)</f>
        <v/>
      </c>
      <c r="J37" s="9">
        <f>ROUND(H12*F37,0)</f>
        <v/>
      </c>
      <c r="K37" s="9">
        <f>ROUND(I12*F37,0)</f>
        <v/>
      </c>
      <c r="L37" s="35">
        <f>H37+I37+J37+K37</f>
        <v/>
      </c>
      <c r="M37" s="121" t="n"/>
    </row>
    <row r="38" ht="15.75" customHeight="1">
      <c r="A38" s="3" t="inlineStr">
        <is>
          <t>CPO679</t>
        </is>
      </c>
      <c r="B38" s="3" t="inlineStr">
        <is>
          <t>2025.12.16</t>
        </is>
      </c>
      <c r="C38" s="4" t="inlineStr">
        <is>
          <t>Christie</t>
        </is>
      </c>
      <c r="D38" s="33" t="n">
        <v>4474</v>
      </c>
      <c r="E38" s="33" t="n">
        <v>143557</v>
      </c>
      <c r="F38" s="114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21" t="n"/>
    </row>
    <row r="39" ht="15.75" customHeight="1">
      <c r="A39" s="3" t="inlineStr">
        <is>
          <t>MPO65</t>
        </is>
      </c>
      <c r="B39" s="3" t="inlineStr">
        <is>
          <t>2025.12.16</t>
        </is>
      </c>
      <c r="C39" s="4" t="inlineStr">
        <is>
          <t>MAG</t>
        </is>
      </c>
      <c r="D39" s="33" t="n">
        <v>4936</v>
      </c>
      <c r="E39" s="33" t="n">
        <v>15040</v>
      </c>
      <c r="F39" s="114">
        <f>D39/E39</f>
        <v/>
      </c>
      <c r="G39" s="33">
        <f>F11</f>
        <v/>
      </c>
      <c r="H39" s="9">
        <f>ROUND(D39*G39,0)</f>
        <v/>
      </c>
      <c r="I39" s="9">
        <f>ROUND(G11*F39*G39,0)</f>
        <v/>
      </c>
      <c r="J39" s="9">
        <f>ROUND(H11*F39,0)</f>
        <v/>
      </c>
      <c r="K39" s="9">
        <f>ROUND(I11*F39,0)</f>
        <v/>
      </c>
      <c r="L39" s="35">
        <f>H39+I39+J39+K39</f>
        <v/>
      </c>
      <c r="M39" s="121" t="n"/>
    </row>
    <row r="40" ht="15.75" customHeight="1">
      <c r="A40" s="3" t="inlineStr">
        <is>
          <t>GPO451</t>
        </is>
      </c>
      <c r="B40" s="3" t="inlineStr">
        <is>
          <t>2025.12.29</t>
        </is>
      </c>
      <c r="C40" s="4" t="inlineStr">
        <is>
          <t>GDC</t>
        </is>
      </c>
      <c r="D40" s="33" t="n">
        <v>9060</v>
      </c>
      <c r="E40" s="33" t="n">
        <v>13860</v>
      </c>
      <c r="F40" s="114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21" t="n"/>
    </row>
    <row r="41" ht="15.75" customHeight="1">
      <c r="A41" s="3" t="inlineStr">
        <is>
          <t>GPO458</t>
        </is>
      </c>
      <c r="B41" s="3" t="inlineStr">
        <is>
          <t>2025.12.29</t>
        </is>
      </c>
      <c r="C41" s="4" t="inlineStr">
        <is>
          <t>GDC</t>
        </is>
      </c>
      <c r="D41" s="33" t="n">
        <v>350</v>
      </c>
      <c r="E41" s="33" t="n">
        <v>13860</v>
      </c>
      <c r="F41" s="114">
        <f>D41/E41</f>
        <v/>
      </c>
      <c r="G41" s="33">
        <f>F14</f>
        <v/>
      </c>
      <c r="H41" s="9">
        <f>ROUND(D41*G41,0)</f>
        <v/>
      </c>
      <c r="I41" s="9">
        <f>ROUND(G14*F41*G41,0)</f>
        <v/>
      </c>
      <c r="J41" s="9">
        <f>ROUND(H14*F41,0)</f>
        <v/>
      </c>
      <c r="K41" s="9">
        <f>ROUND(I14*F41,0)</f>
        <v/>
      </c>
      <c r="L41" s="35">
        <f>H41+I41+J41+K41</f>
        <v/>
      </c>
      <c r="M41" s="121" t="n"/>
    </row>
    <row r="42" ht="15.75" customHeight="1">
      <c r="A42" s="3" t="inlineStr">
        <is>
          <t>CPO680</t>
        </is>
      </c>
      <c r="B42" s="3" t="inlineStr">
        <is>
          <t>2026.01.13</t>
        </is>
      </c>
      <c r="C42" s="4" t="inlineStr">
        <is>
          <t>Christie</t>
        </is>
      </c>
      <c r="D42" s="33" t="n">
        <v>252</v>
      </c>
      <c r="E42" s="33" t="n">
        <v>252</v>
      </c>
      <c r="F42" s="114">
        <f>D42/E42</f>
        <v/>
      </c>
      <c r="G42" s="33">
        <f>F16</f>
        <v/>
      </c>
      <c r="H42" s="9">
        <f>ROUND(D42*G42,0)</f>
        <v/>
      </c>
      <c r="I42" s="9">
        <f>ROUND(G16*F42*G42,0)</f>
        <v/>
      </c>
      <c r="J42" s="9">
        <f>ROUND(H16*F42,0)</f>
        <v/>
      </c>
      <c r="K42" s="9">
        <f>ROUND(I16*F42,0)</f>
        <v/>
      </c>
      <c r="L42" s="35">
        <f>H42+I42+J42+K42</f>
        <v/>
      </c>
      <c r="M42" s="121" t="n"/>
    </row>
    <row r="43" ht="15.75" customHeight="1">
      <c r="A43" s="3" t="inlineStr">
        <is>
          <t>GPO459</t>
        </is>
      </c>
      <c r="B43" s="3" t="inlineStr">
        <is>
          <t>2026.01.21</t>
        </is>
      </c>
      <c r="C43" s="4" t="inlineStr">
        <is>
          <t>GDC</t>
        </is>
      </c>
      <c r="D43" s="33" t="n">
        <v>450</v>
      </c>
      <c r="E43" s="33" t="n">
        <v>3700</v>
      </c>
      <c r="F43" s="114">
        <f>D43/E43</f>
        <v/>
      </c>
      <c r="G43" s="33">
        <f>F17</f>
        <v/>
      </c>
      <c r="H43" s="9">
        <f>ROUND(D43*G43,0)</f>
        <v/>
      </c>
      <c r="I43" s="9">
        <f>ROUND(G17*F43*G43,0)</f>
        <v/>
      </c>
      <c r="J43" s="9">
        <f>ROUND(H17*F43,0)</f>
        <v/>
      </c>
      <c r="K43" s="9">
        <f>ROUND(I17*F43,0)</f>
        <v/>
      </c>
      <c r="L43" s="35">
        <f>H43+I43+J43+K43</f>
        <v/>
      </c>
      <c r="M43" s="121" t="n"/>
    </row>
    <row r="44" ht="15.75" customHeight="1">
      <c r="A44" s="3" t="inlineStr">
        <is>
          <t>GPO460</t>
        </is>
      </c>
      <c r="B44" s="3" t="inlineStr">
        <is>
          <t>2026.01.21</t>
        </is>
      </c>
      <c r="C44" s="4" t="inlineStr">
        <is>
          <t>GDC</t>
        </is>
      </c>
      <c r="D44" s="33" t="n">
        <v>2710</v>
      </c>
      <c r="E44" s="33" t="n">
        <v>3700</v>
      </c>
      <c r="F44" s="114">
        <f>D44/E44</f>
        <v/>
      </c>
      <c r="G44" s="33">
        <f>F17</f>
        <v/>
      </c>
      <c r="H44" s="9">
        <f>ROUND(D44*G44,0)</f>
        <v/>
      </c>
      <c r="I44" s="9">
        <f>ROUND(G17*F44*G44,0)</f>
        <v/>
      </c>
      <c r="J44" s="9">
        <f>ROUND(H17*F44,0)</f>
        <v/>
      </c>
      <c r="K44" s="9">
        <f>ROUND(I17*F44,0)</f>
        <v/>
      </c>
      <c r="L44" s="35">
        <f>H44+I44+J44+K44</f>
        <v/>
      </c>
      <c r="M44" s="121" t="n"/>
    </row>
    <row r="45" ht="15.75" customHeight="1">
      <c r="A45" s="3" t="inlineStr">
        <is>
          <t>GPO461</t>
        </is>
      </c>
      <c r="B45" s="3" t="inlineStr">
        <is>
          <t>2026.01.21</t>
        </is>
      </c>
      <c r="C45" s="4" t="inlineStr">
        <is>
          <t>GDC</t>
        </is>
      </c>
      <c r="D45" s="33" t="n">
        <v>540</v>
      </c>
      <c r="E45" s="33" t="n">
        <v>3700</v>
      </c>
      <c r="F45" s="114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21" t="n"/>
    </row>
    <row r="46" ht="15.75" customHeight="1">
      <c r="A46" s="3" t="inlineStr">
        <is>
          <t>MPO66</t>
        </is>
      </c>
      <c r="B46" s="3" t="inlineStr">
        <is>
          <t>2026.01.21</t>
        </is>
      </c>
      <c r="C46" s="4" t="inlineStr">
        <is>
          <t>MAG</t>
        </is>
      </c>
      <c r="D46" s="33" t="n">
        <v>9626.35</v>
      </c>
      <c r="E46" s="33" t="n">
        <v>9626.35</v>
      </c>
      <c r="F46" s="114">
        <f>D46/E46</f>
        <v/>
      </c>
      <c r="G46" s="33">
        <f>F18</f>
        <v/>
      </c>
      <c r="H46" s="9">
        <f>ROUND(D46*G46,0)</f>
        <v/>
      </c>
      <c r="I46" s="9">
        <f>ROUND(G18*F46*G46,0)</f>
        <v/>
      </c>
      <c r="J46" s="9">
        <f>ROUND(H18*F46,0)</f>
        <v/>
      </c>
      <c r="K46" s="9">
        <f>ROUND(I18*F46,0)</f>
        <v/>
      </c>
      <c r="L46" s="35">
        <f>H46+I46+J46+K46</f>
        <v/>
      </c>
      <c r="M46" s="121" t="n"/>
    </row>
    <row r="47" ht="15.75" customHeight="1">
      <c r="A47" s="3" t="inlineStr">
        <is>
          <t>LPO001</t>
        </is>
      </c>
      <c r="B47" s="3" t="inlineStr">
        <is>
          <t>2026.01.30</t>
        </is>
      </c>
      <c r="C47" s="4" t="inlineStr">
        <is>
          <t>Lemon</t>
        </is>
      </c>
      <c r="D47" s="33" t="n">
        <v>5056.8</v>
      </c>
      <c r="E47" s="33" t="n">
        <v>5056.8</v>
      </c>
      <c r="F47" s="114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21" t="n"/>
    </row>
    <row r="48" ht="15.75" customHeight="1">
      <c r="A48" s="3" t="inlineStr">
        <is>
          <t>CPO682</t>
        </is>
      </c>
      <c r="B48" s="3" t="inlineStr">
        <is>
          <t>2026.02.04</t>
        </is>
      </c>
      <c r="C48" s="4" t="inlineStr">
        <is>
          <t>Christie</t>
        </is>
      </c>
      <c r="D48" s="33" t="n">
        <v>20174</v>
      </c>
      <c r="E48" s="33" t="n">
        <v>24794</v>
      </c>
      <c r="F48" s="114">
        <f>D48/E48</f>
        <v/>
      </c>
      <c r="G48" s="33">
        <f>F21</f>
        <v/>
      </c>
      <c r="H48" s="9">
        <f>ROUND(D48*G48,0)</f>
        <v/>
      </c>
      <c r="I48" s="9">
        <f>ROUND(G21*F48*G48,0)</f>
        <v/>
      </c>
      <c r="J48" s="9">
        <f>ROUND(H21*F48,0)</f>
        <v/>
      </c>
      <c r="K48" s="9">
        <f>ROUND(I21*F48,0)</f>
        <v/>
      </c>
      <c r="L48" s="35">
        <f>H48+I48+J48+K48</f>
        <v/>
      </c>
      <c r="M48" s="121" t="n"/>
    </row>
    <row r="49" ht="15.75" customHeight="1">
      <c r="A49" s="3" t="inlineStr">
        <is>
          <t>CPO683</t>
        </is>
      </c>
      <c r="B49" s="3" t="inlineStr">
        <is>
          <t>2026.02.04</t>
        </is>
      </c>
      <c r="C49" s="4" t="inlineStr">
        <is>
          <t>Christie</t>
        </is>
      </c>
      <c r="D49" s="33" t="n">
        <v>4620</v>
      </c>
      <c r="E49" s="33" t="n">
        <v>24794</v>
      </c>
      <c r="F49" s="114">
        <f>D49/E49</f>
        <v/>
      </c>
      <c r="G49" s="33">
        <f>F21</f>
        <v/>
      </c>
      <c r="H49" s="9">
        <f>ROUND(D49*G49,0)</f>
        <v/>
      </c>
      <c r="I49" s="9">
        <f>ROUND(G21*F49*G49,0)</f>
        <v/>
      </c>
      <c r="J49" s="9">
        <f>ROUND(H21*F49,0)</f>
        <v/>
      </c>
      <c r="K49" s="9">
        <f>ROUND(I21*F49,0)</f>
        <v/>
      </c>
      <c r="L49" s="35">
        <f>H49+I49+J49+K49</f>
        <v/>
      </c>
      <c r="M49" s="121" t="n"/>
    </row>
    <row r="50" ht="15.75" customHeight="1">
      <c r="A50" s="3" t="inlineStr">
        <is>
          <t>GPO462</t>
        </is>
      </c>
      <c r="B50" s="3" t="inlineStr">
        <is>
          <t>2026.02.04</t>
        </is>
      </c>
      <c r="C50" s="4" t="inlineStr">
        <is>
          <t>GDC</t>
        </is>
      </c>
      <c r="D50" s="33" t="n">
        <v>1440</v>
      </c>
      <c r="E50" s="33" t="n">
        <v>11599.57</v>
      </c>
      <c r="F50" s="114">
        <f>D50/E50</f>
        <v/>
      </c>
      <c r="G50" s="33">
        <f>F22</f>
        <v/>
      </c>
      <c r="H50" s="9">
        <f>ROUND(D50*G50,0)</f>
        <v/>
      </c>
      <c r="I50" s="9">
        <f>ROUND(G22*F50*G50,0)</f>
        <v/>
      </c>
      <c r="J50" s="9">
        <f>ROUND(H22*F50,0)</f>
        <v/>
      </c>
      <c r="K50" s="9">
        <f>ROUND(I22*F50,0)</f>
        <v/>
      </c>
      <c r="L50" s="35">
        <f>H50+I50+J50+K50</f>
        <v/>
      </c>
      <c r="M50" s="121" t="n"/>
    </row>
    <row r="51" ht="15.75" customHeight="1">
      <c r="A51" s="3" t="inlineStr">
        <is>
          <t>GPO463</t>
        </is>
      </c>
      <c r="B51" s="3" t="inlineStr">
        <is>
          <t>2026.02.04</t>
        </is>
      </c>
      <c r="C51" s="4" t="inlineStr">
        <is>
          <t>GDC</t>
        </is>
      </c>
      <c r="D51" s="33" t="n">
        <v>4489</v>
      </c>
      <c r="E51" s="33" t="n">
        <v>11599.57</v>
      </c>
      <c r="F51" s="114">
        <f>D51/E51</f>
        <v/>
      </c>
      <c r="G51" s="33">
        <f>F22</f>
        <v/>
      </c>
      <c r="H51" s="9">
        <f>ROUND(D51*G51,0)</f>
        <v/>
      </c>
      <c r="I51" s="9">
        <f>ROUND(G22*F51*G51,0)</f>
        <v/>
      </c>
      <c r="J51" s="9">
        <f>ROUND(H22*F51,0)</f>
        <v/>
      </c>
      <c r="K51" s="9">
        <f>ROUND(I22*F51,0)</f>
        <v/>
      </c>
      <c r="L51" s="35">
        <f>H51+I51+J51+K51</f>
        <v/>
      </c>
      <c r="M51" s="121" t="n"/>
    </row>
    <row r="52" ht="15.75" customHeight="1">
      <c r="A52" s="3" t="inlineStr">
        <is>
          <t>GPO464</t>
        </is>
      </c>
      <c r="B52" s="3" t="inlineStr">
        <is>
          <t>2026.02.04</t>
        </is>
      </c>
      <c r="C52" s="4" t="inlineStr">
        <is>
          <t>GDC</t>
        </is>
      </c>
      <c r="D52" s="33" t="n">
        <v>5670.57</v>
      </c>
      <c r="E52" s="33" t="n">
        <v>11599.57</v>
      </c>
      <c r="F52" s="114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21" t="n"/>
    </row>
    <row r="53" ht="15.75" customHeight="1">
      <c r="A53" s="3" t="inlineStr">
        <is>
          <t>CPO681</t>
        </is>
      </c>
      <c r="B53" s="3" t="inlineStr">
        <is>
          <t>2026.02.11</t>
        </is>
      </c>
      <c r="C53" s="4" t="inlineStr">
        <is>
          <t>Christie</t>
        </is>
      </c>
      <c r="D53" s="33" t="n">
        <v>26358</v>
      </c>
      <c r="E53" s="33" t="n">
        <v>26358</v>
      </c>
      <c r="F53" s="114">
        <f>D53/E53</f>
        <v/>
      </c>
      <c r="G53" s="33">
        <f>F23</f>
        <v/>
      </c>
      <c r="H53" s="9">
        <f>ROUND(D53*G53,0)</f>
        <v/>
      </c>
      <c r="I53" s="9">
        <f>ROUND(G23*F53*G53,0)</f>
        <v/>
      </c>
      <c r="J53" s="9">
        <f>ROUND(H23*F53,0)</f>
        <v/>
      </c>
      <c r="K53" s="9">
        <f>ROUND(I23*F53,0)</f>
        <v/>
      </c>
      <c r="L53" s="35">
        <f>H53+I53+J53+K53</f>
        <v/>
      </c>
      <c r="M53" s="121" t="n"/>
    </row>
    <row r="54" ht="15.75" customHeight="1">
      <c r="A54" s="3" t="inlineStr">
        <is>
          <t>CPO686</t>
        </is>
      </c>
      <c r="B54" s="3" t="inlineStr">
        <is>
          <t>2026.02.19</t>
        </is>
      </c>
      <c r="C54" s="4" t="inlineStr">
        <is>
          <t>Christie</t>
        </is>
      </c>
      <c r="D54" s="33" t="n">
        <v>14793</v>
      </c>
      <c r="E54" s="33" t="n">
        <v>17538</v>
      </c>
      <c r="F54" s="114">
        <f>D54/E54</f>
        <v/>
      </c>
      <c r="G54" s="33">
        <f>F24</f>
        <v/>
      </c>
      <c r="H54" s="9">
        <f>ROUND(D54*G54,0)</f>
        <v/>
      </c>
      <c r="I54" s="9">
        <f>ROUND(G24*F54*G54,0)</f>
        <v/>
      </c>
      <c r="J54" s="9">
        <f>ROUND(H24*F54,0)</f>
        <v/>
      </c>
      <c r="K54" s="9">
        <f>ROUND(I24*F54,0)</f>
        <v/>
      </c>
      <c r="L54" s="35">
        <f>H54+I54+J54+K54</f>
        <v/>
      </c>
      <c r="M54" s="121" t="n"/>
    </row>
    <row r="55" ht="15.75" customHeight="1">
      <c r="A55" s="3" t="inlineStr">
        <is>
          <t>CPO689</t>
        </is>
      </c>
      <c r="B55" s="3" t="inlineStr">
        <is>
          <t>2026.02.19</t>
        </is>
      </c>
      <c r="C55" s="4" t="inlineStr">
        <is>
          <t>Christie</t>
        </is>
      </c>
      <c r="D55" s="33" t="n">
        <v>2745</v>
      </c>
      <c r="E55" s="33" t="n">
        <v>17538</v>
      </c>
      <c r="F55" s="114">
        <f>D55/E55</f>
        <v/>
      </c>
      <c r="G55" s="33">
        <f>F24</f>
        <v/>
      </c>
      <c r="H55" s="9">
        <f>ROUND(D55*G55,0)</f>
        <v/>
      </c>
      <c r="I55" s="9">
        <f>ROUND(G24*F55*G55,0)</f>
        <v/>
      </c>
      <c r="J55" s="9">
        <f>ROUND(H24*F55,0)</f>
        <v/>
      </c>
      <c r="K55" s="9">
        <f>ROUND(I24*F55,0)</f>
        <v/>
      </c>
      <c r="L55" s="35">
        <f>H55+I55+J55+K55</f>
        <v/>
      </c>
      <c r="M55" s="121" t="n"/>
    </row>
    <row r="56" ht="15.75" customHeight="1">
      <c r="A56" s="3" t="inlineStr">
        <is>
          <t>CPO667</t>
        </is>
      </c>
      <c r="B56" s="3" t="inlineStr">
        <is>
          <t>2026.02.27</t>
        </is>
      </c>
      <c r="C56" s="4" t="inlineStr">
        <is>
          <t>Christie</t>
        </is>
      </c>
      <c r="D56" s="33" t="n">
        <v>5673</v>
      </c>
      <c r="E56" s="33" t="n">
        <v>142189</v>
      </c>
      <c r="F56" s="114">
        <f>D56/E56</f>
        <v/>
      </c>
      <c r="G56" s="33">
        <f>F25</f>
        <v/>
      </c>
      <c r="H56" s="9">
        <f>ROUND(D56*G56,0)</f>
        <v/>
      </c>
      <c r="I56" s="9">
        <f>ROUND(G25*F56*G56,0)</f>
        <v/>
      </c>
      <c r="J56" s="9">
        <f>ROUND(H25*F56,0)</f>
        <v/>
      </c>
      <c r="K56" s="9">
        <f>ROUND(I25*F56,0)</f>
        <v/>
      </c>
      <c r="L56" s="35">
        <f>H56+I56+J56+K56</f>
        <v/>
      </c>
      <c r="M56" s="121" t="n"/>
    </row>
    <row r="57" ht="15.75" customHeight="1">
      <c r="A57" s="3" t="inlineStr">
        <is>
          <t>CPO685</t>
        </is>
      </c>
      <c r="B57" s="3" t="inlineStr">
        <is>
          <t>2026.02.27</t>
        </is>
      </c>
      <c r="C57" s="4" t="inlineStr">
        <is>
          <t>Christie</t>
        </is>
      </c>
      <c r="D57" s="33" t="n">
        <v>136516</v>
      </c>
      <c r="E57" s="33" t="n">
        <v>142189</v>
      </c>
      <c r="F57" s="114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21" t="n"/>
    </row>
    <row r="58" ht="15.75" customHeight="1">
      <c r="A58" s="3" t="inlineStr">
        <is>
          <t>CPO678-2</t>
        </is>
      </c>
      <c r="B58" s="3" t="inlineStr">
        <is>
          <t>2026.03.06</t>
        </is>
      </c>
      <c r="C58" s="4" t="inlineStr">
        <is>
          <t>Christie</t>
        </is>
      </c>
      <c r="D58" s="33" t="n">
        <v>137850</v>
      </c>
      <c r="E58" s="33" t="n">
        <v>137850</v>
      </c>
      <c r="F58" s="114">
        <f>D58/E58</f>
        <v/>
      </c>
      <c r="G58" s="33">
        <f>F26</f>
        <v/>
      </c>
      <c r="H58" s="9">
        <f>ROUND(D58*G58,0)</f>
        <v/>
      </c>
      <c r="I58" s="9">
        <f>ROUND(G26*F58*G58,0)</f>
        <v/>
      </c>
      <c r="J58" s="9">
        <f>ROUND(H26*F58,0)</f>
        <v/>
      </c>
      <c r="K58" s="9">
        <f>ROUND(I26*F58,0)</f>
        <v/>
      </c>
      <c r="L58" s="35">
        <f>H58+I58+J58+K58</f>
        <v/>
      </c>
      <c r="M58" s="121" t="n"/>
    </row>
    <row r="59" ht="15.75" customHeight="1">
      <c r="A59" s="3" t="inlineStr">
        <is>
          <t>CPO690</t>
        </is>
      </c>
      <c r="B59" s="3" t="inlineStr">
        <is>
          <t>2026.04.01</t>
        </is>
      </c>
      <c r="C59" s="4" t="inlineStr">
        <is>
          <t>Christie</t>
        </is>
      </c>
      <c r="D59" s="33" t="n">
        <v>9740</v>
      </c>
      <c r="E59" s="33" t="n">
        <v>34354</v>
      </c>
      <c r="F59" s="114">
        <f>D59/E59</f>
        <v/>
      </c>
      <c r="G59" s="33">
        <f>F27</f>
        <v/>
      </c>
      <c r="H59" s="9">
        <f>ROUND(D59*G59,0)</f>
        <v/>
      </c>
      <c r="I59" s="9">
        <f>ROUND(G27*F59*G59,0)</f>
        <v/>
      </c>
      <c r="J59" s="9">
        <f>ROUND(H27*F59,0)</f>
        <v/>
      </c>
      <c r="K59" s="9">
        <f>ROUND(I27*F59,0)</f>
        <v/>
      </c>
      <c r="L59" s="35">
        <f>H59+I59+J59+K59</f>
        <v/>
      </c>
      <c r="M59" s="121" t="n"/>
    </row>
    <row r="60" ht="15.75" customHeight="1">
      <c r="A60" s="3" t="inlineStr">
        <is>
          <t>CPO691</t>
        </is>
      </c>
      <c r="B60" s="3" t="inlineStr">
        <is>
          <t>2026.04.01</t>
        </is>
      </c>
      <c r="C60" s="4" t="inlineStr">
        <is>
          <t>Christie</t>
        </is>
      </c>
      <c r="D60" s="33" t="n">
        <v>24614</v>
      </c>
      <c r="E60" s="33" t="n">
        <v>34354</v>
      </c>
      <c r="F60" s="114">
        <f>D60/E60</f>
        <v/>
      </c>
      <c r="G60" s="33">
        <f>F27</f>
        <v/>
      </c>
      <c r="H60" s="9">
        <f>ROUND(D60*G60,0)</f>
        <v/>
      </c>
      <c r="I60" s="9">
        <f>ROUND(G27*F60*G60,0)</f>
        <v/>
      </c>
      <c r="J60" s="9">
        <f>ROUND(H27*F60,0)</f>
        <v/>
      </c>
      <c r="K60" s="9">
        <f>ROUND(I27*F60,0)</f>
        <v/>
      </c>
      <c r="L60" s="35">
        <f>H60+I60+J60+K60</f>
        <v/>
      </c>
      <c r="M60" s="121" t="n"/>
    </row>
    <row r="61" ht="15.75" customHeight="1">
      <c r="A61" s="3" t="inlineStr">
        <is>
          <t>GPO467</t>
        </is>
      </c>
      <c r="B61" s="3" t="inlineStr">
        <is>
          <t>2026.04.01</t>
        </is>
      </c>
      <c r="C61" s="4" t="inlineStr">
        <is>
          <t>GDC</t>
        </is>
      </c>
      <c r="D61" s="33" t="n">
        <v>1700</v>
      </c>
      <c r="E61" s="33" t="n">
        <v>6553.05</v>
      </c>
      <c r="F61" s="114">
        <f>D61/E61</f>
        <v/>
      </c>
      <c r="G61" s="33">
        <f>F28</f>
        <v/>
      </c>
      <c r="H61" s="9">
        <f>ROUND(D61*G61,0)</f>
        <v/>
      </c>
      <c r="I61" s="9">
        <f>ROUND(G28*F61*G61,0)</f>
        <v/>
      </c>
      <c r="J61" s="9">
        <f>ROUND(H28*F61,0)</f>
        <v/>
      </c>
      <c r="K61" s="9">
        <f>ROUND(I28*F61,0)</f>
        <v/>
      </c>
      <c r="L61" s="35">
        <f>H61+I61+J61+K61</f>
        <v/>
      </c>
      <c r="M61" s="121" t="n"/>
    </row>
    <row r="62" ht="15.75" customHeight="1">
      <c r="A62" s="3" t="inlineStr">
        <is>
          <t>GPO469</t>
        </is>
      </c>
      <c r="B62" s="3" t="inlineStr">
        <is>
          <t>2026.04.01</t>
        </is>
      </c>
      <c r="C62" s="4" t="inlineStr">
        <is>
          <t>GDC</t>
        </is>
      </c>
      <c r="D62" s="33" t="n">
        <v>3993.05</v>
      </c>
      <c r="E62" s="33" t="n">
        <v>6553.05</v>
      </c>
      <c r="F62" s="114">
        <f>D62/E62</f>
        <v/>
      </c>
      <c r="G62" s="33">
        <f>F28</f>
        <v/>
      </c>
      <c r="H62" s="9">
        <f>ROUND(D62*G62,0)</f>
        <v/>
      </c>
      <c r="I62" s="9">
        <f>ROUND(G28*F62*G62,0)</f>
        <v/>
      </c>
      <c r="J62" s="9">
        <f>ROUND(H28*F62,0)</f>
        <v/>
      </c>
      <c r="K62" s="9">
        <f>ROUND(I28*F62,0)</f>
        <v/>
      </c>
      <c r="L62" s="35">
        <f>H62+I62+J62+K62</f>
        <v/>
      </c>
      <c r="M62" s="121" t="n"/>
    </row>
    <row r="63" ht="15.75" customHeight="1">
      <c r="A63" s="3" t="inlineStr">
        <is>
          <t>GPO470</t>
        </is>
      </c>
      <c r="B63" s="3" t="inlineStr">
        <is>
          <t>2026.04.01</t>
        </is>
      </c>
      <c r="C63" s="4" t="inlineStr">
        <is>
          <t>GDC</t>
        </is>
      </c>
      <c r="D63" s="33" t="n">
        <v>360</v>
      </c>
      <c r="E63" s="33" t="n">
        <v>6553.05</v>
      </c>
      <c r="F63" s="114">
        <f>D63/E63</f>
        <v/>
      </c>
      <c r="G63" s="33">
        <f>F28</f>
        <v/>
      </c>
      <c r="H63" s="9">
        <f>ROUND(D63*G63,0)</f>
        <v/>
      </c>
      <c r="I63" s="9">
        <f>ROUND(G28*F63*G63,0)</f>
        <v/>
      </c>
      <c r="J63" s="9">
        <f>ROUND(H28*F63,0)</f>
        <v/>
      </c>
      <c r="K63" s="9">
        <f>ROUND(I28*F63,0)</f>
        <v/>
      </c>
      <c r="L63" s="35">
        <f>H63+I63+J63+K63</f>
        <v/>
      </c>
      <c r="M63" s="121" t="n"/>
    </row>
    <row r="64" ht="15.75" customHeight="1">
      <c r="A64" s="3" t="inlineStr">
        <is>
          <t>GPO471</t>
        </is>
      </c>
      <c r="B64" s="3" t="inlineStr">
        <is>
          <t>2026.04.01</t>
        </is>
      </c>
      <c r="C64" s="4" t="inlineStr">
        <is>
          <t>GDC</t>
        </is>
      </c>
      <c r="D64" s="33" t="n">
        <v>500</v>
      </c>
      <c r="E64" s="33" t="n">
        <v>6553.05</v>
      </c>
      <c r="F64" s="114">
        <f>D64/E64</f>
        <v/>
      </c>
      <c r="G64" s="33">
        <f>F28</f>
        <v/>
      </c>
      <c r="H64" s="9">
        <f>ROUND(D64*G64,0)</f>
        <v/>
      </c>
      <c r="I64" s="9">
        <f>ROUND(G28*F64*G64,0)</f>
        <v/>
      </c>
      <c r="J64" s="9">
        <f>ROUND(H28*F64,0)</f>
        <v/>
      </c>
      <c r="K64" s="9">
        <f>ROUND(I28*F64,0)</f>
        <v/>
      </c>
      <c r="L64" s="35">
        <f>H64+I64+J64+K64</f>
        <v/>
      </c>
      <c r="M64" s="121" t="n"/>
    </row>
    <row r="65" ht="15.75" customHeight="1">
      <c r="A65" s="3" t="inlineStr">
        <is>
          <t>GPO468-1</t>
        </is>
      </c>
      <c r="B65" s="3" t="inlineStr">
        <is>
          <t>2026.04.14</t>
        </is>
      </c>
      <c r="C65" s="4" t="inlineStr">
        <is>
          <t>GDC</t>
        </is>
      </c>
      <c r="D65" s="33" t="n">
        <v>36190</v>
      </c>
      <c r="E65" s="33" t="n">
        <v>57650</v>
      </c>
      <c r="F65" s="114">
        <f>D65/E65</f>
        <v/>
      </c>
      <c r="G65" s="33">
        <f>F29</f>
        <v/>
      </c>
      <c r="H65" s="9">
        <f>ROUND(D65*G65,0)</f>
        <v/>
      </c>
      <c r="I65" s="9">
        <f>ROUND(G29*F65*G65,0)</f>
        <v/>
      </c>
      <c r="J65" s="9">
        <f>ROUND(H29*F65,0)</f>
        <v/>
      </c>
      <c r="K65" s="9">
        <f>ROUND(I29*F65,0)</f>
        <v/>
      </c>
      <c r="L65" s="35">
        <f>H65+I65+J65+K65</f>
        <v/>
      </c>
      <c r="M65" s="121" t="n"/>
    </row>
    <row r="66" ht="15.75" customHeight="1">
      <c r="A66" s="3" t="inlineStr">
        <is>
          <t>GPO472</t>
        </is>
      </c>
      <c r="B66" s="3" t="inlineStr">
        <is>
          <t>2026.04.14</t>
        </is>
      </c>
      <c r="C66" s="4" t="inlineStr">
        <is>
          <t>GDC</t>
        </is>
      </c>
      <c r="D66" s="33" t="n">
        <v>180</v>
      </c>
      <c r="E66" s="33" t="n">
        <v>57650</v>
      </c>
      <c r="F66" s="114">
        <f>D66/E66</f>
        <v/>
      </c>
      <c r="G66" s="33">
        <f>F29</f>
        <v/>
      </c>
      <c r="H66" s="9">
        <f>ROUND(D66*G66,0)</f>
        <v/>
      </c>
      <c r="I66" s="9">
        <f>ROUND(G29*F66*G66,0)</f>
        <v/>
      </c>
      <c r="J66" s="9">
        <f>ROUND(H29*F66,0)</f>
        <v/>
      </c>
      <c r="K66" s="9">
        <f>ROUND(I29*F66,0)</f>
        <v/>
      </c>
      <c r="L66" s="35">
        <f>H66+I66+J66+K66</f>
        <v/>
      </c>
      <c r="M66" s="121" t="n"/>
    </row>
    <row r="67" ht="15.75" customHeight="1">
      <c r="A67" s="3" t="inlineStr">
        <is>
          <t>GPO468-2</t>
        </is>
      </c>
      <c r="B67" s="3" t="inlineStr">
        <is>
          <t>2026.04.14</t>
        </is>
      </c>
      <c r="C67" s="4" t="inlineStr">
        <is>
          <t>GDC</t>
        </is>
      </c>
      <c r="D67" s="33" t="n">
        <v>21280</v>
      </c>
      <c r="E67" s="33" t="n">
        <v>57650</v>
      </c>
      <c r="F67" s="114">
        <f>D67/E67</f>
        <v/>
      </c>
      <c r="G67" s="33">
        <f>F29</f>
        <v/>
      </c>
      <c r="H67" s="9">
        <f>ROUND(D67*G67,0)</f>
        <v/>
      </c>
      <c r="I67" s="9">
        <f>ROUND(G29*F67*G67,0)</f>
        <v/>
      </c>
      <c r="J67" s="9">
        <f>ROUND(H29*F67,0)</f>
        <v/>
      </c>
      <c r="K67" s="9">
        <f>ROUND(I29*F67,0)</f>
        <v/>
      </c>
      <c r="L67" s="35">
        <f>H67+I67+J67+K67</f>
        <v/>
      </c>
      <c r="M67" s="121" t="n"/>
    </row>
    <row r="68" ht="15.75" customHeight="1">
      <c r="A68" s="102" t="inlineStr">
        <is>
          <t>CPO692-1</t>
        </is>
      </c>
      <c r="B68" s="102" t="inlineStr">
        <is>
          <t>2026.04.22</t>
        </is>
      </c>
      <c r="C68" s="103" t="inlineStr">
        <is>
          <t>Christie</t>
        </is>
      </c>
      <c r="D68" s="104" t="n">
        <v>11000</v>
      </c>
      <c r="E68" s="104" t="n">
        <v>297580</v>
      </c>
      <c r="F68" s="115">
        <f>D68/E68</f>
        <v/>
      </c>
      <c r="G68" s="104">
        <f>F33</f>
        <v/>
      </c>
      <c r="H68" s="105">
        <f>ROUND(D68*G68,0)</f>
        <v/>
      </c>
      <c r="I68" s="105">
        <f>ROUND(G33*F68*G68,0)</f>
        <v/>
      </c>
      <c r="J68" s="105">
        <f>ROUND(H33*F68,0)</f>
        <v/>
      </c>
      <c r="K68" s="105">
        <f>ROUND(I33*F68,0)</f>
        <v/>
      </c>
      <c r="L68" s="106">
        <f>H68+I68+J68+K68</f>
        <v/>
      </c>
      <c r="M68" s="121" t="n"/>
    </row>
    <row r="69" ht="15.75" customHeight="1">
      <c r="A69" s="102" t="inlineStr">
        <is>
          <t>CPO692-2</t>
        </is>
      </c>
      <c r="B69" s="102" t="inlineStr">
        <is>
          <t>2026.04.22</t>
        </is>
      </c>
      <c r="C69" s="103" t="inlineStr">
        <is>
          <t>Christie</t>
        </is>
      </c>
      <c r="D69" s="104" t="n">
        <v>286580</v>
      </c>
      <c r="E69" s="104" t="n">
        <v>297580</v>
      </c>
      <c r="F69" s="115">
        <f>D69/E69</f>
        <v/>
      </c>
      <c r="G69" s="104">
        <f>F33</f>
        <v/>
      </c>
      <c r="H69" s="105">
        <f>ROUND(D69*G69,0)</f>
        <v/>
      </c>
      <c r="I69" s="105">
        <f>ROUND(G33*F69*G69,0)</f>
        <v/>
      </c>
      <c r="J69" s="105">
        <f>ROUND(H33*F69,0)</f>
        <v/>
      </c>
      <c r="K69" s="105">
        <f>ROUND(I33*F69,0)</f>
        <v/>
      </c>
      <c r="L69" s="106">
        <f>H69+I69+J69+K69</f>
        <v/>
      </c>
      <c r="M69" s="121" t="n"/>
    </row>
    <row r="70">
      <c r="A70" s="102" t="inlineStr">
        <is>
          <t>EPO18</t>
        </is>
      </c>
      <c r="B70" s="102" t="inlineStr">
        <is>
          <t>2026.04.22</t>
        </is>
      </c>
      <c r="C70" s="103" t="inlineStr">
        <is>
          <t>Elicent</t>
        </is>
      </c>
      <c r="D70" s="104" t="n">
        <v>4388.4</v>
      </c>
      <c r="E70" s="104" t="n">
        <v>4388.4</v>
      </c>
      <c r="F70" s="115">
        <f>D70/E70</f>
        <v/>
      </c>
      <c r="G70" s="104">
        <f>F34</f>
        <v/>
      </c>
      <c r="H70" s="105">
        <f>ROUND(D70*G70,0)</f>
        <v/>
      </c>
      <c r="I70" s="105">
        <f>ROUND(G34*F70*G70,0)</f>
        <v/>
      </c>
      <c r="J70" s="105">
        <f>ROUND(H34*F70,0)</f>
        <v/>
      </c>
      <c r="K70" s="105">
        <f>ROUND(I34*F70,0)</f>
        <v/>
      </c>
      <c r="L70" s="106">
        <f>H70+I70+J70+K70</f>
        <v/>
      </c>
    </row>
    <row r="71">
      <c r="A71" s="168" t="inlineStr">
        <is>
          <t>CPO694</t>
        </is>
      </c>
      <c r="B71" s="168" t="inlineStr">
        <is>
          <t>2026.05.04</t>
        </is>
      </c>
      <c r="C71" s="169" t="inlineStr">
        <is>
          <t>Christie</t>
        </is>
      </c>
      <c r="D71" s="170" t="n">
        <v>17404</v>
      </c>
      <c r="E71" s="170" t="n">
        <v>21439</v>
      </c>
      <c r="F71" s="174">
        <f>D71/E71</f>
        <v/>
      </c>
      <c r="G71" s="170">
        <f>F33</f>
        <v/>
      </c>
      <c r="H71" s="172">
        <f>ROUND(D71*G71,0)</f>
        <v/>
      </c>
      <c r="I71" s="172">
        <f>ROUND(G33*F71*G71,0)</f>
        <v/>
      </c>
      <c r="J71" s="172">
        <f>ROUND(H33*F71,0)</f>
        <v/>
      </c>
      <c r="K71" s="172">
        <f>ROUND(I33*F71,0)</f>
        <v/>
      </c>
      <c r="L71" s="173">
        <f>H71+I71+J71+K71</f>
        <v/>
      </c>
    </row>
    <row r="72">
      <c r="A72" s="168" t="inlineStr">
        <is>
          <t>CPO695-1</t>
        </is>
      </c>
      <c r="B72" s="168" t="inlineStr">
        <is>
          <t>2026.05.04</t>
        </is>
      </c>
      <c r="C72" s="169" t="inlineStr">
        <is>
          <t>Christie</t>
        </is>
      </c>
      <c r="D72" s="170" t="n">
        <v>2058</v>
      </c>
      <c r="E72" s="170" t="n">
        <v>21439</v>
      </c>
      <c r="F72" s="174">
        <f>D72/E72</f>
        <v/>
      </c>
      <c r="G72" s="170">
        <f>F33</f>
        <v/>
      </c>
      <c r="H72" s="172">
        <f>ROUND(D72*G72,0)</f>
        <v/>
      </c>
      <c r="I72" s="172">
        <f>ROUND(G33*F72*G72,0)</f>
        <v/>
      </c>
      <c r="J72" s="172">
        <f>ROUND(H33*F72,0)</f>
        <v/>
      </c>
      <c r="K72" s="172">
        <f>ROUND(I33*F72,0)</f>
        <v/>
      </c>
      <c r="L72" s="173">
        <f>H72+I72+J72+K72</f>
        <v/>
      </c>
    </row>
    <row r="73">
      <c r="A73" s="168" t="inlineStr">
        <is>
          <t>CPO695-2</t>
        </is>
      </c>
      <c r="B73" s="168" t="inlineStr">
        <is>
          <t>2026.05.04</t>
        </is>
      </c>
      <c r="C73" s="169" t="inlineStr">
        <is>
          <t>Christie</t>
        </is>
      </c>
      <c r="D73" s="170" t="n">
        <v>1977</v>
      </c>
      <c r="E73" s="170" t="n">
        <v>21439</v>
      </c>
      <c r="F73" s="174">
        <f>D73/E73</f>
        <v/>
      </c>
      <c r="G73" s="170">
        <f>F33</f>
        <v/>
      </c>
      <c r="H73" s="172">
        <f>ROUND(D73*G73,0)</f>
        <v/>
      </c>
      <c r="I73" s="172">
        <f>ROUND(G33*F73*G73,0)</f>
        <v/>
      </c>
      <c r="J73" s="172">
        <f>ROUND(H33*F73,0)</f>
        <v/>
      </c>
      <c r="K73" s="172">
        <f>ROUND(I33*F73,0)</f>
        <v/>
      </c>
      <c r="L73" s="173">
        <f>H73+I73+J73+K73</f>
        <v/>
      </c>
    </row>
    <row r="74">
      <c r="A74" s="168" t="inlineStr">
        <is>
          <t>IPO016</t>
        </is>
      </c>
      <c r="B74" s="168" t="inlineStr">
        <is>
          <t>2026.05.04</t>
        </is>
      </c>
      <c r="C74" s="169" t="inlineStr">
        <is>
          <t>Integ</t>
        </is>
      </c>
      <c r="D74" s="170" t="n">
        <v>6800</v>
      </c>
      <c r="E74" s="170" t="n">
        <v>6800</v>
      </c>
      <c r="F74" s="174">
        <f>D74/E74</f>
        <v/>
      </c>
      <c r="G74" s="170">
        <f>F34</f>
        <v/>
      </c>
      <c r="H74" s="172">
        <f>ROUND(D74*G74,0)</f>
        <v/>
      </c>
      <c r="I74" s="172">
        <f>ROUND(G34*F74*G74,0)</f>
        <v/>
      </c>
      <c r="J74" s="172">
        <f>ROUND(H34*F74,0)</f>
        <v/>
      </c>
      <c r="K74" s="172">
        <f>ROUND(I34*F74,0)</f>
        <v/>
      </c>
      <c r="L74" s="173">
        <f>H74+I74+J74+K74</f>
        <v/>
      </c>
    </row>
    <row r="76">
      <c r="M76" s="40" t="n"/>
    </row>
  </sheetData>
  <mergeCells count="2">
    <mergeCell ref="A1:L1"/>
    <mergeCell ref="A35:L35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35" min="1" max="1"/>
    <col width="16" customWidth="1" style="135" min="2" max="3"/>
    <col width="18" customWidth="1" style="135" min="4" max="4"/>
    <col width="12" customWidth="1" style="135" min="5" max="5"/>
    <col width="32" customWidth="1" style="135" min="6" max="6"/>
    <col width="16.33203125" customWidth="1" style="135" min="7" max="8"/>
    <col width="14.83203125" customWidth="1" style="135" min="9" max="9"/>
    <col width="12" customWidth="1" style="135" min="10" max="10"/>
    <col width="16" customWidth="1" style="135" min="11" max="11"/>
    <col width="14.33203125" customWidth="1" style="135" min="12" max="12"/>
    <col width="12" customWidth="1" style="135" min="13" max="14"/>
    <col width="14" customWidth="1" style="135" min="15" max="15"/>
    <col width="12" customWidth="1" style="135" min="16" max="16"/>
    <col width="8.83203125" customWidth="1" style="135" min="17" max="20"/>
    <col width="8.83203125" customWidth="1" style="135" min="21" max="16384"/>
  </cols>
  <sheetData>
    <row r="1" ht="24" customHeight="1">
      <c r="A1" s="136" t="inlineStr">
        <is>
          <t>RNR 2026년 Usance L/C 상환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5.75" customHeight="1">
      <c r="A2" s="138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37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34" t="inlineStr">
        <is>
          <t>※ 현재 오픈 = 미상환 L/C(상환확정일 비어있는 건)의 개설금액 합계 → 상환 시 자동 반영</t>
        </is>
      </c>
    </row>
    <row r="11" ht="18" customHeight="1">
      <c r="A11" s="134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33" t="inlineStr">
        <is>
          <t>&lt; 미상환 L/C 현황 &gt;</t>
        </is>
      </c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4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33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165" t="n">
        <v>67</v>
      </c>
      <c r="M16" s="59" t="n"/>
      <c r="N16" s="166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165" t="n">
        <v>60</v>
      </c>
      <c r="M17" s="59" t="n"/>
      <c r="N17" s="166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33" t="inlineStr">
        <is>
          <t>&lt; 수입/통관 정보 &gt;</t>
        </is>
      </c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4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33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167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167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35"/>
    <row r="50" ht="15.75" customFormat="1" customHeight="1" s="135"/>
    <row r="51" ht="15.75" customFormat="1" customHeight="1" s="135"/>
    <row r="52" ht="15.75" customFormat="1" customHeight="1" s="135"/>
    <row r="53" ht="15.75" customFormat="1" customHeight="1" s="135"/>
    <row r="54" ht="15.75" customFormat="1" customHeight="1" s="135"/>
    <row r="55" ht="15.75" customFormat="1" customHeight="1" s="135"/>
    <row r="56" ht="15.75" customFormat="1" customHeight="1" s="135"/>
    <row r="57" ht="15.75" customFormat="1" customHeight="1" s="135"/>
    <row r="58" ht="15.75" customFormat="1" customHeight="1" s="135"/>
    <row r="59" ht="15.75" customFormat="1" customHeight="1" s="135"/>
    <row r="60" ht="15.75" customFormat="1" customHeight="1" s="135"/>
    <row r="61" ht="15.75" customFormat="1" customHeight="1" s="135"/>
    <row r="62" ht="15.75" customFormat="1" customHeight="1" s="135"/>
    <row r="63" ht="15.75" customFormat="1" customHeight="1" s="135"/>
    <row r="64" ht="15.75" customFormat="1" customHeight="1" s="135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35"/>
    <row r="82" ht="15.75" customFormat="1" customHeight="1" s="135"/>
    <row r="83" ht="15.75" customFormat="1" customHeight="1" s="135"/>
    <row r="84" ht="15.75" customFormat="1" customHeight="1" s="135"/>
    <row r="85" ht="15.75" customFormat="1" customHeight="1" s="135"/>
    <row r="86" ht="15.75" customFormat="1" customHeight="1" s="135"/>
    <row r="87" ht="15.75" customFormat="1" customHeight="1" s="135"/>
    <row r="88" ht="15.75" customFormat="1" customHeight="1" s="135"/>
    <row r="89" ht="15.75" customFormat="1" customHeight="1" s="135"/>
    <row r="90" ht="15.75" customFormat="1" customHeight="1" s="135"/>
    <row r="91" ht="15.75" customFormat="1" customHeight="1" s="135"/>
    <row r="92" ht="15.75" customFormat="1" customHeight="1" s="135"/>
    <row r="93" ht="15.75" customFormat="1" customHeight="1" s="135"/>
    <row r="94" ht="15.75" customFormat="1" customHeight="1" s="135"/>
    <row r="95" ht="15.75" customFormat="1" customHeight="1" s="135"/>
    <row r="96" ht="15.75" customFormat="1" customHeight="1" s="135"/>
    <row r="97" ht="15.75" customFormat="1" customHeight="1" s="135"/>
    <row r="98" ht="15.75" customFormat="1" customHeight="1" s="135"/>
    <row r="99" ht="15.75" customFormat="1" customHeight="1" s="135"/>
    <row r="100" ht="15.75" customFormat="1" customHeight="1" s="135"/>
    <row r="101" ht="15.75" customFormat="1" customHeight="1" s="135"/>
    <row r="102" ht="15.75" customFormat="1" customHeight="1" s="135"/>
    <row r="103" ht="15.75" customFormat="1" customHeight="1" s="135"/>
    <row r="104" ht="15.75" customFormat="1" customHeight="1" s="135"/>
    <row r="105" ht="15.75" customFormat="1" customHeight="1" s="135"/>
    <row r="106" ht="15.75" customFormat="1" customHeight="1" s="135"/>
    <row r="107" ht="15.75" customFormat="1" customHeight="1" s="135"/>
    <row r="108" ht="15.75" customFormat="1" customHeight="1" s="135"/>
    <row r="109" ht="15.75" customFormat="1" customHeight="1" s="135"/>
    <row r="110" ht="15.75" customFormat="1" customHeight="1" s="135"/>
    <row r="111" ht="15.75" customFormat="1" customHeight="1" s="135"/>
    <row r="112" ht="15.75" customFormat="1" customHeight="1" s="135"/>
    <row r="113" ht="15.75" customFormat="1" customHeight="1" s="135"/>
    <row r="114" ht="15.75" customFormat="1" customHeight="1" s="135"/>
    <row r="115" ht="15.75" customFormat="1" customHeight="1" s="135"/>
    <row r="116" ht="15.75" customFormat="1" customHeight="1" s="135"/>
    <row r="117" ht="15.75" customFormat="1" customHeight="1" s="135"/>
    <row r="118" ht="15.75" customFormat="1" customHeight="1" s="135"/>
    <row r="119" ht="15.75" customFormat="1" customHeight="1" s="135"/>
    <row r="120" ht="15.75" customFormat="1" customHeight="1" s="135"/>
    <row r="121" ht="15.75" customFormat="1" customHeight="1" s="135"/>
    <row r="122" ht="15.75" customFormat="1" customHeight="1" s="135"/>
    <row r="123" ht="15.75" customFormat="1" customHeight="1" s="135"/>
    <row r="124" ht="15.75" customFormat="1" customHeight="1" s="135"/>
    <row r="125" ht="15.75" customFormat="1" customHeight="1" s="135"/>
    <row r="126" ht="15.75" customFormat="1" customHeight="1" s="135"/>
    <row r="127" ht="15.75" customFormat="1" customHeight="1" s="135"/>
    <row r="128" ht="15.75" customFormat="1" customHeight="1" s="135"/>
    <row r="129" ht="15.75" customFormat="1" customHeight="1" s="135"/>
    <row r="130" ht="15.75" customFormat="1" customHeight="1" s="135"/>
    <row r="131" ht="15.75" customFormat="1" customHeight="1" s="135"/>
    <row r="132" ht="15.75" customFormat="1" customHeight="1" s="135"/>
    <row r="133" ht="15.75" customFormat="1" customHeight="1" s="135"/>
    <row r="134" ht="15.75" customFormat="1" customHeight="1" s="135"/>
    <row r="135" ht="15.75" customFormat="1" customHeight="1" s="135"/>
    <row r="136" ht="15.75" customFormat="1" customHeight="1" s="135"/>
    <row r="137" ht="15.75" customFormat="1" customHeight="1" s="135"/>
    <row r="138" ht="15.75" customFormat="1" customHeight="1" s="135"/>
    <row r="139" ht="15.75" customFormat="1" customHeight="1" s="135"/>
    <row r="140" ht="15.75" customFormat="1" customHeight="1" s="135"/>
    <row r="141" ht="15.75" customFormat="1" customHeight="1" s="135"/>
    <row r="142" ht="15.75" customFormat="1" customHeight="1" s="135"/>
    <row r="143" ht="15.75" customFormat="1" customHeight="1" s="135"/>
    <row r="144" ht="15.75" customFormat="1" customHeight="1" s="135"/>
    <row r="145" ht="15.75" customFormat="1" customHeight="1" s="135"/>
    <row r="146" ht="15.75" customFormat="1" customHeight="1" s="135"/>
    <row r="147" ht="15.75" customFormat="1" customHeight="1" s="135"/>
    <row r="148" ht="15.75" customFormat="1" customHeight="1" s="135"/>
    <row r="149" ht="15.75" customFormat="1" customHeight="1" s="135"/>
    <row r="150" ht="15.75" customFormat="1" customHeight="1" s="135"/>
    <row r="151" ht="15.75" customFormat="1" customHeight="1" s="135"/>
    <row r="152" ht="15.75" customFormat="1" customHeight="1" s="135"/>
    <row r="153" ht="15.75" customFormat="1" customHeight="1" s="135"/>
    <row r="154" ht="15.75" customFormat="1" customHeight="1" s="135"/>
    <row r="155" ht="15.75" customFormat="1" customHeight="1" s="135"/>
    <row r="156" ht="15.75" customFormat="1" customHeight="1" s="135"/>
    <row r="157" ht="15.75" customFormat="1" customHeight="1" s="135"/>
    <row r="158" ht="15.75" customFormat="1" customHeight="1" s="135"/>
    <row r="159" ht="15.75" customFormat="1" customHeight="1" s="135"/>
    <row r="160" ht="15.75" customFormat="1" customHeight="1" s="135"/>
    <row r="161" ht="15.75" customFormat="1" customHeight="1" s="135"/>
    <row r="162" ht="15.75" customFormat="1" customHeight="1" s="135"/>
    <row r="163" ht="15.75" customFormat="1" customHeight="1" s="135"/>
    <row r="164" ht="15.75" customFormat="1" customHeight="1" s="135"/>
    <row r="165" ht="15.75" customFormat="1" customHeight="1" s="135"/>
    <row r="166" ht="15.75" customFormat="1" customHeight="1" s="135"/>
    <row r="167" ht="15.75" customFormat="1" customHeight="1" s="135"/>
    <row r="168" ht="15.75" customFormat="1" customHeight="1" s="135"/>
    <row r="169" ht="15.75" customFormat="1" customHeight="1" s="135"/>
    <row r="170" ht="15.75" customFormat="1" customHeight="1" s="135"/>
    <row r="171" ht="15.75" customFormat="1" customHeight="1" s="135"/>
    <row r="172" ht="15.75" customFormat="1" customHeight="1" s="135"/>
    <row r="173" ht="15.75" customFormat="1" customHeight="1" s="135"/>
    <row r="174" ht="15.75" customFormat="1" customHeight="1" s="135"/>
    <row r="175" ht="15.75" customFormat="1" customHeight="1" s="135"/>
    <row r="176" ht="15.75" customFormat="1" customHeight="1" s="135"/>
    <row r="177" ht="15.75" customFormat="1" customHeight="1" s="135"/>
    <row r="178" ht="15.75" customFormat="1" customHeight="1" s="135"/>
    <row r="179" ht="15.75" customFormat="1" customHeight="1" s="135"/>
    <row r="180" ht="15.75" customFormat="1" customHeight="1" s="135"/>
    <row r="181" ht="15.75" customFormat="1" customHeight="1" s="135"/>
    <row r="182" ht="15.75" customFormat="1" customHeight="1" s="135"/>
    <row r="183" ht="15.75" customFormat="1" customHeight="1" s="135"/>
    <row r="184" ht="15.75" customFormat="1" customHeight="1" s="135"/>
    <row r="185" ht="15.75" customFormat="1" customHeight="1" s="135"/>
    <row r="186" ht="15.75" customFormat="1" customHeight="1" s="135"/>
    <row r="187" ht="15.75" customFormat="1" customHeight="1" s="135"/>
    <row r="188" ht="15.75" customFormat="1" customHeight="1" s="135"/>
    <row r="189" ht="15.75" customFormat="1" customHeight="1" s="135"/>
    <row r="190" ht="15.75" customFormat="1" customHeight="1" s="135"/>
    <row r="191" ht="15.75" customFormat="1" customHeight="1" s="135"/>
    <row r="192" ht="15.75" customFormat="1" customHeight="1" s="135"/>
    <row r="193" ht="15.75" customFormat="1" customHeight="1" s="135"/>
    <row r="194" ht="15.75" customFormat="1" customHeight="1" s="135"/>
    <row r="195" ht="15.75" customFormat="1" customHeight="1" s="135"/>
    <row r="196" ht="15.75" customFormat="1" customHeight="1" s="135"/>
    <row r="197" ht="15.75" customFormat="1" customHeight="1" s="135"/>
    <row r="198" ht="15.75" customFormat="1" customHeight="1" s="135"/>
    <row r="199" ht="15.75" customFormat="1" customHeight="1" s="135"/>
    <row r="200" ht="15.75" customFormat="1" customHeight="1" s="135"/>
    <row r="201" ht="15.75" customFormat="1" customHeight="1" s="135"/>
    <row r="202" ht="15.75" customFormat="1" customHeight="1" s="135"/>
    <row r="203" ht="15.75" customFormat="1" customHeight="1" s="135"/>
    <row r="204" ht="15.75" customFormat="1" customHeight="1" s="135"/>
    <row r="205" ht="15.75" customFormat="1" customHeight="1" s="135"/>
    <row r="206" ht="15.75" customFormat="1" customHeight="1" s="135"/>
    <row r="207" ht="15.75" customFormat="1" customHeight="1" s="135"/>
    <row r="208" ht="15.75" customFormat="1" customHeight="1" s="135"/>
    <row r="209" ht="15.75" customFormat="1" customHeight="1" s="135"/>
    <row r="210" ht="15.75" customFormat="1" customHeight="1" s="135"/>
    <row r="211" ht="15.75" customFormat="1" customHeight="1" s="135"/>
    <row r="212" ht="15.75" customFormat="1" customHeight="1" s="135"/>
    <row r="213" ht="15.75" customFormat="1" customHeight="1" s="135"/>
    <row r="214" ht="15.75" customFormat="1" customHeight="1" s="135"/>
    <row r="215" ht="15.75" customFormat="1" customHeight="1" s="135"/>
    <row r="216" ht="15.75" customFormat="1" customHeight="1" s="135"/>
    <row r="217" ht="15.75" customFormat="1" customHeight="1" s="135"/>
    <row r="218" ht="15.75" customFormat="1" customHeight="1" s="135"/>
    <row r="219" ht="15.75" customFormat="1" customHeight="1" s="135"/>
    <row r="220" ht="15.75" customFormat="1" customHeight="1" s="135"/>
    <row r="221" ht="15.75" customFormat="1" customHeight="1" s="135"/>
    <row r="222" ht="15.75" customFormat="1" customHeight="1" s="135"/>
    <row r="223" ht="15.75" customFormat="1" customHeight="1" s="135"/>
    <row r="224" ht="15.75" customFormat="1" customHeight="1" s="135"/>
    <row r="225" ht="15.75" customFormat="1" customHeight="1" s="135"/>
    <row r="226" ht="15.75" customFormat="1" customHeight="1" s="135"/>
    <row r="227" ht="15.75" customFormat="1" customHeight="1" s="135"/>
    <row r="228" ht="15.75" customFormat="1" customHeight="1" s="135"/>
    <row r="229" ht="15.75" customFormat="1" customHeight="1" s="135"/>
    <row r="230" ht="15.75" customFormat="1" customHeight="1" s="135"/>
    <row r="231" ht="15.75" customFormat="1" customHeight="1" s="135"/>
    <row r="232" ht="15.75" customFormat="1" customHeight="1" s="135"/>
    <row r="233" ht="15.75" customFormat="1" customHeight="1" s="135"/>
    <row r="234" ht="15.75" customFormat="1" customHeight="1" s="135"/>
    <row r="235" ht="15.75" customFormat="1" customHeight="1" s="135"/>
    <row r="236" ht="15.75" customFormat="1" customHeight="1" s="135"/>
    <row r="237" ht="15.75" customFormat="1" customHeight="1" s="135"/>
    <row r="238" ht="15.75" customFormat="1" customHeight="1" s="135"/>
    <row r="239" ht="15.75" customFormat="1" customHeight="1" s="135"/>
    <row r="240" ht="15.75" customFormat="1" customHeight="1" s="135"/>
    <row r="241" ht="15.75" customFormat="1" customHeight="1" s="135"/>
    <row r="242" ht="15.75" customFormat="1" customHeight="1" s="135"/>
    <row r="243" ht="15.75" customFormat="1" customHeight="1" s="135"/>
    <row r="244" ht="15.75" customFormat="1" customHeight="1" s="135"/>
    <row r="245" ht="15.75" customFormat="1" customHeight="1" s="135"/>
    <row r="246" ht="15.75" customFormat="1" customHeight="1" s="135"/>
    <row r="247" ht="15.75" customFormat="1" customHeight="1" s="135"/>
    <row r="248" ht="15.75" customFormat="1" customHeight="1" s="135"/>
    <row r="249" ht="15.75" customFormat="1" customHeight="1" s="135"/>
    <row r="250" ht="15.75" customFormat="1" customHeight="1" s="135"/>
    <row r="251" ht="15.75" customFormat="1" customHeight="1" s="135"/>
    <row r="252" ht="15.75" customFormat="1" customHeight="1" s="135"/>
    <row r="253" ht="15.75" customFormat="1" customHeight="1" s="135"/>
    <row r="254" ht="15.75" customFormat="1" customHeight="1" s="135"/>
    <row r="255" ht="15.75" customFormat="1" customHeight="1" s="135"/>
    <row r="256" ht="15.75" customFormat="1" customHeight="1" s="135"/>
    <row r="257" ht="15.75" customFormat="1" customHeight="1" s="135"/>
    <row r="258" ht="15.75" customFormat="1" customHeight="1" s="135"/>
    <row r="259" ht="15.75" customFormat="1" customHeight="1" s="135"/>
    <row r="260" ht="15.75" customFormat="1" customHeight="1" s="135"/>
    <row r="261" ht="15.75" customFormat="1" customHeight="1" s="135"/>
    <row r="262" ht="15.75" customFormat="1" customHeight="1" s="135"/>
    <row r="263" ht="15.75" customFormat="1" customHeight="1" s="135"/>
    <row r="264" ht="15.75" customFormat="1" customHeight="1" s="135"/>
    <row r="265" ht="15.75" customFormat="1" customHeight="1" s="135"/>
    <row r="266" ht="15.75" customFormat="1" customHeight="1" s="135"/>
    <row r="267" ht="15.75" customFormat="1" customHeight="1" s="135"/>
    <row r="268" ht="15.75" customFormat="1" customHeight="1" s="135"/>
    <row r="269" ht="15.75" customFormat="1" customHeight="1" s="135"/>
    <row r="270" ht="15.75" customFormat="1" customHeight="1" s="135"/>
    <row r="271" ht="15.75" customFormat="1" customHeight="1" s="135"/>
    <row r="272" ht="15.75" customFormat="1" customHeight="1" s="135"/>
    <row r="273" ht="15.75" customFormat="1" customHeight="1" s="135"/>
    <row r="274" ht="15.75" customFormat="1" customHeight="1" s="135"/>
    <row r="275" ht="15.75" customFormat="1" customHeight="1" s="135"/>
    <row r="276" ht="15.75" customFormat="1" customHeight="1" s="135"/>
    <row r="277" ht="15.75" customFormat="1" customHeight="1" s="135"/>
    <row r="278" ht="15.75" customFormat="1" customHeight="1" s="135"/>
    <row r="279" ht="15.75" customFormat="1" customHeight="1" s="135"/>
    <row r="280" ht="15.75" customFormat="1" customHeight="1" s="135"/>
    <row r="281" ht="15.75" customFormat="1" customHeight="1" s="135"/>
    <row r="282" ht="15.75" customFormat="1" customHeight="1" s="135"/>
    <row r="283" ht="15.75" customFormat="1" customHeight="1" s="135"/>
    <row r="284" ht="15.75" customFormat="1" customHeight="1" s="135"/>
    <row r="285" ht="15.75" customFormat="1" customHeight="1" s="135"/>
    <row r="286" ht="15.75" customFormat="1" customHeight="1" s="135"/>
    <row r="287" ht="15.75" customFormat="1" customHeight="1" s="135"/>
    <row r="288" ht="15.75" customFormat="1" customHeight="1" s="135"/>
    <row r="289" ht="15.75" customFormat="1" customHeight="1" s="135"/>
    <row r="290" ht="15.75" customFormat="1" customHeight="1" s="135"/>
    <row r="291" ht="15.75" customFormat="1" customHeight="1" s="135"/>
    <row r="292" ht="15.75" customFormat="1" customHeight="1" s="135"/>
    <row r="293" ht="15.75" customFormat="1" customHeight="1" s="135"/>
    <row r="294" ht="15.75" customFormat="1" customHeight="1" s="135"/>
    <row r="295" ht="15.75" customFormat="1" customHeight="1" s="135"/>
    <row r="296" ht="15.75" customFormat="1" customHeight="1" s="135"/>
    <row r="297" ht="15.75" customFormat="1" customHeight="1" s="135"/>
    <row r="298" ht="15.75" customFormat="1" customHeight="1" s="135"/>
    <row r="299" ht="15.75" customFormat="1" customHeight="1" s="135"/>
    <row r="300" ht="15.75" customFormat="1" customHeight="1" s="135"/>
    <row r="301" ht="15.75" customFormat="1" customHeight="1" s="135"/>
    <row r="302" ht="15.75" customFormat="1" customHeight="1" s="135"/>
    <row r="303" ht="15.75" customFormat="1" customHeight="1" s="135"/>
    <row r="304" ht="15.75" customFormat="1" customHeight="1" s="135"/>
    <row r="305" ht="15.75" customFormat="1" customHeight="1" s="135"/>
    <row r="306" ht="15.75" customFormat="1" customHeight="1" s="135"/>
    <row r="307" ht="15.75" customFormat="1" customHeight="1" s="135"/>
    <row r="308" ht="15.75" customFormat="1" customHeight="1" s="135"/>
    <row r="309" ht="15.75" customFormat="1" customHeight="1" s="135"/>
    <row r="310" ht="15.75" customFormat="1" customHeight="1" s="135"/>
    <row r="311" ht="15.75" customFormat="1" customHeight="1" s="135"/>
    <row r="312" ht="15.75" customFormat="1" customHeight="1" s="135"/>
    <row r="313" ht="15.75" customFormat="1" customHeight="1" s="135"/>
    <row r="314" ht="15.75" customFormat="1" customHeight="1" s="135"/>
    <row r="315" ht="15.75" customFormat="1" customHeight="1" s="135"/>
    <row r="316" ht="15.75" customFormat="1" customHeight="1" s="135"/>
    <row r="317" ht="15.75" customFormat="1" customHeight="1" s="135"/>
    <row r="318" ht="15.75" customFormat="1" customHeight="1" s="135"/>
    <row r="319" ht="15.75" customFormat="1" customHeight="1" s="135"/>
    <row r="320" ht="15.75" customFormat="1" customHeight="1" s="135"/>
    <row r="321" ht="15.75" customFormat="1" customHeight="1" s="135"/>
    <row r="322" ht="15.75" customFormat="1" customHeight="1" s="135"/>
    <row r="323" ht="15.75" customFormat="1" customHeight="1" s="135"/>
    <row r="324" ht="15.75" customFormat="1" customHeight="1" s="135"/>
    <row r="325" ht="15.75" customFormat="1" customHeight="1" s="135"/>
    <row r="326" ht="15.75" customFormat="1" customHeight="1" s="135"/>
    <row r="327" ht="15.75" customFormat="1" customHeight="1" s="135"/>
    <row r="328" ht="15.75" customFormat="1" customHeight="1" s="135"/>
    <row r="329" ht="15.75" customFormat="1" customHeight="1" s="135"/>
    <row r="330" ht="15.75" customFormat="1" customHeight="1" s="135"/>
    <row r="331" ht="15.75" customFormat="1" customHeight="1" s="135"/>
    <row r="332" ht="15.75" customFormat="1" customHeight="1" s="135"/>
    <row r="333" ht="15.75" customFormat="1" customHeight="1" s="135"/>
    <row r="334" ht="15.75" customFormat="1" customHeight="1" s="135"/>
    <row r="335" ht="15.75" customFormat="1" customHeight="1" s="135"/>
    <row r="336" ht="15.75" customFormat="1" customHeight="1" s="135"/>
    <row r="337" ht="15.75" customFormat="1" customHeight="1" s="135"/>
    <row r="338" ht="15.75" customFormat="1" customHeight="1" s="135"/>
    <row r="339" ht="15.75" customFormat="1" customHeight="1" s="135"/>
    <row r="340" ht="15.75" customFormat="1" customHeight="1" s="135"/>
    <row r="341" ht="15.75" customFormat="1" customHeight="1" s="135"/>
    <row r="342" ht="15.75" customFormat="1" customHeight="1" s="135"/>
    <row r="343" ht="15.75" customFormat="1" customHeight="1" s="135"/>
    <row r="344" ht="15.75" customFormat="1" customHeight="1" s="135"/>
    <row r="345" ht="15.75" customFormat="1" customHeight="1" s="135"/>
    <row r="346" ht="15.75" customFormat="1" customHeight="1" s="135"/>
    <row r="347" ht="15.75" customFormat="1" customHeight="1" s="135"/>
    <row r="348" ht="15.75" customFormat="1" customHeight="1" s="135"/>
    <row r="349" ht="15.75" customFormat="1" customHeight="1" s="135"/>
    <row r="350" ht="15.75" customFormat="1" customHeight="1" s="135"/>
    <row r="351" ht="15.75" customFormat="1" customHeight="1" s="135"/>
    <row r="352" ht="15.75" customFormat="1" customHeight="1" s="135"/>
    <row r="353" ht="15.75" customFormat="1" customHeight="1" s="135"/>
    <row r="354" ht="15.75" customFormat="1" customHeight="1" s="135"/>
    <row r="355" ht="15.75" customFormat="1" customHeight="1" s="135"/>
    <row r="356" ht="15.75" customFormat="1" customHeight="1" s="135"/>
    <row r="357" ht="15.75" customFormat="1" customHeight="1" s="135"/>
    <row r="358" ht="15.75" customFormat="1" customHeight="1" s="135"/>
    <row r="359" ht="15.75" customFormat="1" customHeight="1" s="135"/>
    <row r="360" ht="15.75" customFormat="1" customHeight="1" s="135"/>
    <row r="361" ht="15.75" customFormat="1" customHeight="1" s="135"/>
    <row r="362" ht="15.75" customFormat="1" customHeight="1" s="135"/>
    <row r="363" ht="15.75" customFormat="1" customHeight="1" s="135"/>
    <row r="364" ht="15.75" customFormat="1" customHeight="1" s="135"/>
    <row r="365" ht="15.75" customFormat="1" customHeight="1" s="135"/>
    <row r="366" ht="15.75" customFormat="1" customHeight="1" s="135"/>
    <row r="367" ht="15.75" customFormat="1" customHeight="1" s="135"/>
    <row r="368" ht="15.75" customFormat="1" customHeight="1" s="135"/>
    <row r="369" ht="15.75" customFormat="1" customHeight="1" s="135"/>
    <row r="370" ht="15.75" customFormat="1" customHeight="1" s="135"/>
    <row r="371" ht="15.75" customFormat="1" customHeight="1" s="135"/>
    <row r="372" ht="15.75" customFormat="1" customHeight="1" s="135"/>
    <row r="373" ht="15.75" customFormat="1" customHeight="1" s="135"/>
    <row r="374" ht="15.75" customFormat="1" customHeight="1" s="135"/>
    <row r="375" ht="15.75" customFormat="1" customHeight="1" s="135"/>
    <row r="376" ht="15.75" customFormat="1" customHeight="1" s="135"/>
    <row r="377" ht="15.75" customFormat="1" customHeight="1" s="135"/>
    <row r="378" ht="15.75" customFormat="1" customHeight="1" s="135"/>
    <row r="379" ht="15.75" customFormat="1" customHeight="1" s="135"/>
    <row r="380" ht="15.75" customFormat="1" customHeight="1" s="135"/>
    <row r="381" ht="15.75" customFormat="1" customHeight="1" s="135"/>
    <row r="382" ht="15.75" customFormat="1" customHeight="1" s="135"/>
    <row r="383" ht="15.75" customFormat="1" customHeight="1" s="135"/>
    <row r="384" ht="15.75" customFormat="1" customHeight="1" s="135"/>
    <row r="385" ht="15.75" customFormat="1" customHeight="1" s="135"/>
    <row r="386" ht="15.75" customFormat="1" customHeight="1" s="135"/>
    <row r="387" ht="15.75" customFormat="1" customHeight="1" s="135"/>
    <row r="388" ht="15.75" customFormat="1" customHeight="1" s="135"/>
    <row r="389" ht="15.75" customFormat="1" customHeight="1" s="135"/>
    <row r="390" ht="15.75" customFormat="1" customHeight="1" s="135"/>
    <row r="391" ht="15.75" customFormat="1" customHeight="1" s="135"/>
    <row r="392" ht="15.75" customFormat="1" customHeight="1" s="135"/>
    <row r="393" ht="15.75" customFormat="1" customHeight="1" s="135"/>
    <row r="394" ht="15.75" customFormat="1" customHeight="1" s="135"/>
    <row r="395" ht="15.75" customFormat="1" customHeight="1" s="135"/>
    <row r="396" ht="15.75" customFormat="1" customHeight="1" s="135"/>
    <row r="397" ht="15.75" customFormat="1" customHeight="1" s="135"/>
    <row r="398" ht="15.75" customFormat="1" customHeight="1" s="135"/>
    <row r="399" ht="15.75" customFormat="1" customHeight="1" s="135"/>
    <row r="400" ht="15.75" customFormat="1" customHeight="1" s="135"/>
    <row r="401" ht="15.75" customFormat="1" customHeight="1" s="135"/>
    <row r="402" ht="15.75" customFormat="1" customHeight="1" s="135"/>
    <row r="403" ht="15.75" customFormat="1" customHeight="1" s="135"/>
    <row r="404" ht="15.75" customFormat="1" customHeight="1" s="135"/>
    <row r="405" ht="15.75" customFormat="1" customHeight="1" s="135"/>
    <row r="406" ht="15.75" customFormat="1" customHeight="1" s="135"/>
    <row r="407" ht="15.75" customFormat="1" customHeight="1" s="135"/>
    <row r="408" ht="15.75" customFormat="1" customHeight="1" s="135"/>
    <row r="409" ht="15.75" customFormat="1" customHeight="1" s="135"/>
    <row r="410" ht="15.75" customFormat="1" customHeight="1" s="135"/>
    <row r="411" ht="15.75" customFormat="1" customHeight="1" s="135"/>
    <row r="412" ht="15.75" customFormat="1" customHeight="1" s="135"/>
    <row r="413" ht="15.75" customFormat="1" customHeight="1" s="135"/>
    <row r="414" ht="15.75" customFormat="1" customHeight="1" s="135"/>
    <row r="415" ht="15.75" customFormat="1" customHeight="1" s="135"/>
    <row r="416" ht="15.75" customFormat="1" customHeight="1" s="135"/>
    <row r="417" ht="15.75" customFormat="1" customHeight="1" s="135"/>
    <row r="418" ht="15.75" customFormat="1" customHeight="1" s="135"/>
    <row r="419" ht="15.75" customFormat="1" customHeight="1" s="135"/>
    <row r="420" ht="15.75" customFormat="1" customHeight="1" s="135"/>
    <row r="421" ht="15.75" customFormat="1" customHeight="1" s="135"/>
    <row r="422" ht="15.75" customFormat="1" customHeight="1" s="135"/>
    <row r="423" ht="15.75" customFormat="1" customHeight="1" s="135"/>
    <row r="424" ht="15.75" customFormat="1" customHeight="1" s="135"/>
    <row r="425" ht="15.75" customFormat="1" customHeight="1" s="135"/>
    <row r="426" ht="15.75" customFormat="1" customHeight="1" s="135"/>
    <row r="427" ht="15.75" customFormat="1" customHeight="1" s="135"/>
    <row r="428" ht="15.75" customFormat="1" customHeight="1" s="135"/>
    <row r="429" ht="15.75" customFormat="1" customHeight="1" s="135"/>
    <row r="430" ht="15.75" customFormat="1" customHeight="1" s="135"/>
    <row r="431" ht="15.75" customFormat="1" customHeight="1" s="135"/>
    <row r="432" ht="15.75" customFormat="1" customHeight="1" s="135"/>
    <row r="433" ht="15.75" customFormat="1" customHeight="1" s="135"/>
    <row r="434" ht="15.75" customFormat="1" customHeight="1" s="135"/>
    <row r="435" ht="15.75" customFormat="1" customHeight="1" s="135"/>
    <row r="436" ht="15.75" customFormat="1" customHeight="1" s="135"/>
    <row r="437" ht="15.75" customFormat="1" customHeight="1" s="135"/>
    <row r="438" ht="15.75" customFormat="1" customHeight="1" s="135"/>
    <row r="439" ht="15.75" customFormat="1" customHeight="1" s="135"/>
    <row r="440" ht="15.75" customFormat="1" customHeight="1" s="135"/>
    <row r="441" ht="15.75" customFormat="1" customHeight="1" s="135"/>
    <row r="442" ht="15.75" customFormat="1" customHeight="1" s="135"/>
    <row r="443" ht="15.75" customFormat="1" customHeight="1" s="135"/>
    <row r="444" ht="15.75" customFormat="1" customHeight="1" s="135"/>
    <row r="445" ht="15.75" customFormat="1" customHeight="1" s="135"/>
    <row r="446" ht="15.75" customFormat="1" customHeight="1" s="135"/>
    <row r="447" ht="15.75" customFormat="1" customHeight="1" s="135"/>
    <row r="448" ht="15.75" customFormat="1" customHeight="1" s="135"/>
    <row r="449" ht="15.75" customFormat="1" customHeight="1" s="135"/>
    <row r="450" ht="15.75" customFormat="1" customHeight="1" s="135"/>
    <row r="451" ht="15.75" customFormat="1" customHeight="1" s="135"/>
    <row r="452" ht="15.75" customFormat="1" customHeight="1" s="135"/>
    <row r="453" ht="15.75" customFormat="1" customHeight="1" s="135"/>
    <row r="454" ht="15.75" customFormat="1" customHeight="1" s="135"/>
    <row r="455" ht="15.75" customFormat="1" customHeight="1" s="135"/>
    <row r="456" ht="15.75" customFormat="1" customHeight="1" s="135"/>
    <row r="457" ht="15.75" customFormat="1" customHeight="1" s="135"/>
    <row r="458" ht="15.75" customFormat="1" customHeight="1" s="135"/>
    <row r="459" ht="15.75" customFormat="1" customHeight="1" s="135"/>
    <row r="460" ht="15.75" customFormat="1" customHeight="1" s="135"/>
    <row r="461" ht="15.75" customFormat="1" customHeight="1" s="135"/>
    <row r="462" ht="15.75" customFormat="1" customHeight="1" s="135"/>
    <row r="463" ht="15.75" customFormat="1" customHeight="1" s="135"/>
    <row r="464" ht="15.75" customFormat="1" customHeight="1" s="135"/>
    <row r="465" ht="15.75" customFormat="1" customHeight="1" s="135"/>
    <row r="466" ht="15.75" customFormat="1" customHeight="1" s="135"/>
    <row r="467" ht="15.75" customFormat="1" customHeight="1" s="135"/>
    <row r="468" ht="15.75" customFormat="1" customHeight="1" s="135"/>
    <row r="469" ht="15.75" customFormat="1" customHeight="1" s="135"/>
    <row r="470" ht="15.75" customFormat="1" customHeight="1" s="135"/>
    <row r="471" ht="15.75" customFormat="1" customHeight="1" s="135"/>
    <row r="472" ht="15.75" customFormat="1" customHeight="1" s="135"/>
    <row r="473" ht="15.75" customFormat="1" customHeight="1" s="135"/>
    <row r="474" ht="15.75" customFormat="1" customHeight="1" s="135"/>
    <row r="475" ht="15.75" customFormat="1" customHeight="1" s="135"/>
    <row r="476" ht="15.75" customFormat="1" customHeight="1" s="135"/>
    <row r="477" ht="15.75" customFormat="1" customHeight="1" s="135"/>
    <row r="478" ht="15.75" customFormat="1" customHeight="1" s="135"/>
    <row r="479" ht="15.75" customFormat="1" customHeight="1" s="135"/>
    <row r="480" ht="15.75" customFormat="1" customHeight="1" s="135"/>
    <row r="481" ht="15.75" customFormat="1" customHeight="1" s="135"/>
    <row r="482" ht="15.75" customFormat="1" customHeight="1" s="135"/>
    <row r="483" ht="15.75" customFormat="1" customHeight="1" s="135"/>
    <row r="484" ht="15.75" customFormat="1" customHeight="1" s="135"/>
    <row r="485" ht="15.75" customFormat="1" customHeight="1" s="135"/>
    <row r="486" ht="15.75" customFormat="1" customHeight="1" s="135"/>
    <row r="487" ht="15.75" customFormat="1" customHeight="1" s="135"/>
    <row r="488" ht="15.75" customFormat="1" customHeight="1" s="135"/>
    <row r="489" ht="15.75" customFormat="1" customHeight="1" s="135"/>
    <row r="490" ht="15.75" customFormat="1" customHeight="1" s="135"/>
    <row r="491" ht="15.75" customFormat="1" customHeight="1" s="135"/>
    <row r="492" ht="15.75" customFormat="1" customHeight="1" s="135"/>
    <row r="493" ht="15.75" customFormat="1" customHeight="1" s="135"/>
    <row r="494" ht="15.75" customFormat="1" customHeight="1" s="135"/>
    <row r="495" ht="15.75" customFormat="1" customHeight="1" s="135"/>
    <row r="496" ht="15.75" customFormat="1" customHeight="1" s="135"/>
    <row r="497" ht="15.75" customFormat="1" customHeight="1" s="135"/>
    <row r="498" ht="15.75" customFormat="1" customHeight="1" s="135"/>
    <row r="499" ht="15.75" customFormat="1" customHeight="1" s="135"/>
    <row r="500" ht="15.75" customFormat="1" customHeight="1" s="135"/>
    <row r="501" ht="15.75" customFormat="1" customHeight="1" s="135"/>
    <row r="502" ht="15.75" customFormat="1" customHeight="1" s="135"/>
    <row r="503" ht="15.75" customFormat="1" customHeight="1" s="135"/>
    <row r="504" ht="15.75" customFormat="1" customHeight="1" s="135"/>
    <row r="505" ht="15.75" customFormat="1" customHeight="1" s="135"/>
    <row r="506" ht="15.75" customFormat="1" customHeight="1" s="135"/>
    <row r="507" ht="15.75" customFormat="1" customHeight="1" s="135"/>
    <row r="508" ht="15.75" customFormat="1" customHeight="1" s="135"/>
    <row r="509" ht="15.75" customFormat="1" customHeight="1" s="135"/>
    <row r="510" ht="15.75" customFormat="1" customHeight="1" s="135"/>
    <row r="511" ht="15.75" customFormat="1" customHeight="1" s="135"/>
    <row r="512" ht="15.75" customFormat="1" customHeight="1" s="135"/>
    <row r="513" ht="15.75" customFormat="1" customHeight="1" s="135"/>
    <row r="514" ht="15.75" customFormat="1" customHeight="1" s="135"/>
    <row r="515" ht="15.75" customFormat="1" customHeight="1" s="135"/>
    <row r="516" ht="15.75" customFormat="1" customHeight="1" s="135"/>
    <row r="517" ht="15.75" customFormat="1" customHeight="1" s="135"/>
    <row r="518" ht="15.75" customFormat="1" customHeight="1" s="135"/>
    <row r="519" ht="15.75" customFormat="1" customHeight="1" s="135"/>
    <row r="520" ht="15.75" customFormat="1" customHeight="1" s="135"/>
    <row r="521" ht="15.75" customFormat="1" customHeight="1" s="135"/>
    <row r="522" ht="15.75" customFormat="1" customHeight="1" s="135"/>
    <row r="523" ht="15.75" customFormat="1" customHeight="1" s="135"/>
    <row r="524" ht="15.75" customFormat="1" customHeight="1" s="135"/>
    <row r="525" ht="15.75" customFormat="1" customHeight="1" s="135"/>
    <row r="526" ht="15.75" customFormat="1" customHeight="1" s="135"/>
    <row r="527" ht="15.75" customFormat="1" customHeight="1" s="135"/>
    <row r="528" ht="15.75" customFormat="1" customHeight="1" s="135"/>
    <row r="529" ht="15.75" customFormat="1" customHeight="1" s="135"/>
    <row r="530" ht="15.75" customFormat="1" customHeight="1" s="135"/>
    <row r="531" ht="15.75" customFormat="1" customHeight="1" s="135"/>
    <row r="532" ht="15.75" customFormat="1" customHeight="1" s="135"/>
    <row r="533" ht="15.75" customFormat="1" customHeight="1" s="135"/>
    <row r="534" ht="15.75" customFormat="1" customHeight="1" s="135"/>
    <row r="535" ht="15.75" customFormat="1" customHeight="1" s="135"/>
    <row r="536" ht="15.75" customFormat="1" customHeight="1" s="135"/>
    <row r="537" ht="15.75" customFormat="1" customHeight="1" s="135"/>
    <row r="538" ht="15.75" customFormat="1" customHeight="1" s="135"/>
    <row r="539" ht="15.75" customFormat="1" customHeight="1" s="135"/>
    <row r="540" ht="15.75" customFormat="1" customHeight="1" s="135"/>
    <row r="541" ht="15.75" customFormat="1" customHeight="1" s="135"/>
    <row r="542" ht="15.75" customFormat="1" customHeight="1" s="135"/>
    <row r="543" ht="15.75" customFormat="1" customHeight="1" s="135"/>
    <row r="544" ht="15.75" customFormat="1" customHeight="1" s="135"/>
    <row r="545" ht="15.75" customFormat="1" customHeight="1" s="135"/>
    <row r="546" ht="15.75" customFormat="1" customHeight="1" s="135"/>
    <row r="547" ht="15.75" customFormat="1" customHeight="1" s="135"/>
    <row r="548" ht="15.75" customFormat="1" customHeight="1" s="135"/>
    <row r="549" ht="15.75" customFormat="1" customHeight="1" s="135"/>
    <row r="550" ht="15.75" customFormat="1" customHeight="1" s="135"/>
    <row r="551" ht="15.75" customFormat="1" customHeight="1" s="135"/>
    <row r="552" ht="15.75" customFormat="1" customHeight="1" s="135"/>
    <row r="553" ht="15.75" customFormat="1" customHeight="1" s="135"/>
    <row r="554" ht="15.75" customFormat="1" customHeight="1" s="135"/>
    <row r="555" ht="15.75" customFormat="1" customHeight="1" s="135"/>
    <row r="556" ht="15.75" customFormat="1" customHeight="1" s="135"/>
    <row r="557" ht="15.75" customFormat="1" customHeight="1" s="135"/>
    <row r="558" ht="15.75" customFormat="1" customHeight="1" s="135"/>
    <row r="559" ht="15.75" customFormat="1" customHeight="1" s="135"/>
    <row r="560" ht="15.75" customFormat="1" customHeight="1" s="135"/>
    <row r="561" ht="15.75" customFormat="1" customHeight="1" s="135"/>
    <row r="562" ht="15.75" customFormat="1" customHeight="1" s="135"/>
    <row r="563" ht="15.75" customFormat="1" customHeight="1" s="135"/>
    <row r="564" ht="15.75" customFormat="1" customHeight="1" s="135"/>
    <row r="565" ht="15.75" customFormat="1" customHeight="1" s="135"/>
    <row r="566" ht="15.75" customFormat="1" customHeight="1" s="135"/>
    <row r="567" ht="15.75" customFormat="1" customHeight="1" s="135"/>
    <row r="568" ht="15.75" customFormat="1" customHeight="1" s="135"/>
    <row r="569" ht="15.75" customFormat="1" customHeight="1" s="135"/>
    <row r="570" ht="15.75" customFormat="1" customHeight="1" s="135"/>
    <row r="571" ht="15.75" customFormat="1" customHeight="1" s="135"/>
    <row r="572" ht="15.75" customFormat="1" customHeight="1" s="135"/>
    <row r="573" ht="15.75" customFormat="1" customHeight="1" s="135"/>
    <row r="574" ht="15.75" customFormat="1" customHeight="1" s="135"/>
    <row r="575" ht="15.75" customFormat="1" customHeight="1" s="135"/>
    <row r="576" ht="15.75" customFormat="1" customHeight="1" s="135"/>
    <row r="577" ht="15.75" customFormat="1" customHeight="1" s="135"/>
    <row r="578" ht="15.75" customFormat="1" customHeight="1" s="135"/>
    <row r="579" ht="15.75" customFormat="1" customHeight="1" s="135"/>
    <row r="580" ht="15.75" customFormat="1" customHeight="1" s="135"/>
    <row r="581" ht="15.75" customFormat="1" customHeight="1" s="135"/>
    <row r="582" ht="15.75" customFormat="1" customHeight="1" s="135"/>
    <row r="583" ht="15.75" customFormat="1" customHeight="1" s="135"/>
    <row r="584" ht="15.75" customFormat="1" customHeight="1" s="135"/>
    <row r="585" ht="15.75" customFormat="1" customHeight="1" s="135"/>
    <row r="586" ht="15.75" customFormat="1" customHeight="1" s="135"/>
    <row r="587" ht="15.75" customFormat="1" customHeight="1" s="135"/>
    <row r="588" ht="15.75" customFormat="1" customHeight="1" s="135"/>
    <row r="589" ht="15.75" customFormat="1" customHeight="1" s="135"/>
    <row r="590" ht="15.75" customFormat="1" customHeight="1" s="135"/>
    <row r="591" ht="15.75" customFormat="1" customHeight="1" s="135"/>
    <row r="592" ht="15.75" customFormat="1" customHeight="1" s="135"/>
    <row r="593" ht="15.75" customFormat="1" customHeight="1" s="135"/>
    <row r="594" ht="15.75" customFormat="1" customHeight="1" s="135"/>
    <row r="595" ht="15.75" customFormat="1" customHeight="1" s="135"/>
    <row r="596" ht="15.75" customFormat="1" customHeight="1" s="135"/>
    <row r="597" ht="15.75" customFormat="1" customHeight="1" s="135"/>
    <row r="598" ht="15.75" customFormat="1" customHeight="1" s="135"/>
    <row r="599" ht="15.75" customFormat="1" customHeight="1" s="135"/>
    <row r="600" ht="15.75" customFormat="1" customHeight="1" s="135"/>
    <row r="601" ht="15.75" customFormat="1" customHeight="1" s="135"/>
    <row r="602" ht="15.75" customFormat="1" customHeight="1" s="135"/>
    <row r="603" ht="15.75" customFormat="1" customHeight="1" s="135"/>
    <row r="604" ht="15.75" customFormat="1" customHeight="1" s="135"/>
    <row r="605" ht="15.75" customFormat="1" customHeight="1" s="135"/>
    <row r="606" ht="15.75" customFormat="1" customHeight="1" s="135"/>
    <row r="607" ht="15.75" customFormat="1" customHeight="1" s="135"/>
    <row r="608" ht="15.75" customFormat="1" customHeight="1" s="135"/>
    <row r="609" ht="15.75" customFormat="1" customHeight="1" s="135"/>
    <row r="610" ht="15.75" customFormat="1" customHeight="1" s="135"/>
    <row r="611" ht="15.75" customFormat="1" customHeight="1" s="135"/>
    <row r="612" ht="15.75" customFormat="1" customHeight="1" s="135"/>
    <row r="613" ht="15.75" customFormat="1" customHeight="1" s="135"/>
    <row r="614" ht="15.75" customFormat="1" customHeight="1" s="135"/>
    <row r="615" ht="15.75" customFormat="1" customHeight="1" s="135"/>
    <row r="616" ht="15.75" customFormat="1" customHeight="1" s="135"/>
    <row r="617" ht="15.75" customFormat="1" customHeight="1" s="135"/>
    <row r="618" ht="15.75" customFormat="1" customHeight="1" s="135"/>
    <row r="619" ht="15.75" customFormat="1" customHeight="1" s="135"/>
    <row r="620" ht="15.75" customFormat="1" customHeight="1" s="135"/>
    <row r="621" ht="15.75" customFormat="1" customHeight="1" s="135"/>
    <row r="622" ht="15.75" customFormat="1" customHeight="1" s="135"/>
    <row r="623" ht="15.75" customFormat="1" customHeight="1" s="135"/>
    <row r="624" ht="15.75" customFormat="1" customHeight="1" s="135"/>
    <row r="625" ht="15.75" customFormat="1" customHeight="1" s="135"/>
    <row r="626" ht="15.75" customFormat="1" customHeight="1" s="135"/>
    <row r="627" ht="15.75" customFormat="1" customHeight="1" s="135"/>
    <row r="628" ht="15.75" customFormat="1" customHeight="1" s="135"/>
    <row r="629" ht="15.75" customFormat="1" customHeight="1" s="135"/>
    <row r="630" ht="15.75" customFormat="1" customHeight="1" s="135"/>
    <row r="631" ht="15.75" customFormat="1" customHeight="1" s="135"/>
    <row r="632" ht="15.75" customFormat="1" customHeight="1" s="135"/>
    <row r="633" ht="15.75" customFormat="1" customHeight="1" s="135"/>
    <row r="634" ht="15.75" customFormat="1" customHeight="1" s="135"/>
    <row r="635" ht="15.75" customFormat="1" customHeight="1" s="135"/>
    <row r="636" ht="15.75" customFormat="1" customHeight="1" s="135"/>
    <row r="637" ht="15.75" customFormat="1" customHeight="1" s="135"/>
    <row r="638" ht="15.75" customFormat="1" customHeight="1" s="135"/>
    <row r="639" ht="15.75" customFormat="1" customHeight="1" s="135"/>
    <row r="640" ht="15.75" customFormat="1" customHeight="1" s="135"/>
    <row r="641" ht="15.75" customFormat="1" customHeight="1" s="135"/>
    <row r="642" ht="15.75" customFormat="1" customHeight="1" s="135"/>
    <row r="643" ht="15.75" customFormat="1" customHeight="1" s="135"/>
    <row r="644" ht="15.75" customFormat="1" customHeight="1" s="135"/>
    <row r="645" ht="15.75" customFormat="1" customHeight="1" s="135"/>
    <row r="646" ht="15.75" customFormat="1" customHeight="1" s="135"/>
    <row r="647" ht="15.75" customFormat="1" customHeight="1" s="135"/>
    <row r="648" ht="15.75" customFormat="1" customHeight="1" s="135"/>
    <row r="649" ht="15.75" customFormat="1" customHeight="1" s="135"/>
    <row r="650" ht="15.75" customFormat="1" customHeight="1" s="135"/>
    <row r="651" ht="15.75" customFormat="1" customHeight="1" s="135"/>
    <row r="652" ht="15.75" customFormat="1" customHeight="1" s="135"/>
    <row r="653" ht="15.75" customFormat="1" customHeight="1" s="135"/>
    <row r="654" ht="15.75" customFormat="1" customHeight="1" s="135"/>
    <row r="655" ht="15.75" customFormat="1" customHeight="1" s="135"/>
    <row r="656" ht="15.75" customFormat="1" customHeight="1" s="135"/>
    <row r="657" ht="15.75" customFormat="1" customHeight="1" s="135"/>
    <row r="658" ht="15.75" customFormat="1" customHeight="1" s="135"/>
    <row r="659" ht="15.75" customFormat="1" customHeight="1" s="135"/>
    <row r="660" ht="15.75" customFormat="1" customHeight="1" s="135"/>
    <row r="661" ht="15.75" customFormat="1" customHeight="1" s="135"/>
    <row r="662" ht="15.75" customFormat="1" customHeight="1" s="135"/>
    <row r="663" ht="15.75" customFormat="1" customHeight="1" s="135"/>
    <row r="664" ht="15.75" customFormat="1" customHeight="1" s="135"/>
    <row r="665" ht="15.75" customFormat="1" customHeight="1" s="135"/>
    <row r="666" ht="15.75" customFormat="1" customHeight="1" s="135"/>
    <row r="667" ht="15.75" customFormat="1" customHeight="1" s="135"/>
    <row r="668" ht="15.75" customFormat="1" customHeight="1" s="135"/>
    <row r="669" ht="15.75" customFormat="1" customHeight="1" s="135"/>
    <row r="670" ht="15.75" customFormat="1" customHeight="1" s="135"/>
    <row r="671" ht="15.75" customFormat="1" customHeight="1" s="135"/>
    <row r="672" ht="15.75" customFormat="1" customHeight="1" s="135"/>
    <row r="673" ht="15.75" customFormat="1" customHeight="1" s="135"/>
    <row r="674" ht="15.75" customFormat="1" customHeight="1" s="135"/>
    <row r="675" ht="15.75" customFormat="1" customHeight="1" s="135"/>
    <row r="676" ht="15.75" customFormat="1" customHeight="1" s="135"/>
    <row r="677" ht="15.75" customFormat="1" customHeight="1" s="135"/>
    <row r="678" ht="15.75" customFormat="1" customHeight="1" s="135"/>
    <row r="679" ht="15.75" customFormat="1" customHeight="1" s="135"/>
    <row r="680" ht="15.75" customFormat="1" customHeight="1" s="135"/>
    <row r="681" ht="15.75" customFormat="1" customHeight="1" s="135"/>
    <row r="682" ht="15.75" customFormat="1" customHeight="1" s="135"/>
    <row r="683" ht="15.75" customFormat="1" customHeight="1" s="135"/>
    <row r="684" ht="15.75" customFormat="1" customHeight="1" s="135"/>
    <row r="685" ht="15.75" customFormat="1" customHeight="1" s="135"/>
    <row r="686" ht="15.75" customFormat="1" customHeight="1" s="135"/>
    <row r="687" ht="15.75" customFormat="1" customHeight="1" s="135"/>
    <row r="688" ht="15.75" customFormat="1" customHeight="1" s="135"/>
    <row r="689" ht="15.75" customFormat="1" customHeight="1" s="135"/>
    <row r="690" ht="15.75" customFormat="1" customHeight="1" s="135"/>
    <row r="691" ht="15.75" customFormat="1" customHeight="1" s="135"/>
    <row r="692" ht="15.75" customFormat="1" customHeight="1" s="135"/>
    <row r="693" ht="15.75" customFormat="1" customHeight="1" s="135"/>
    <row r="694" ht="15.75" customFormat="1" customHeight="1" s="135"/>
    <row r="695" ht="15.75" customFormat="1" customHeight="1" s="135"/>
    <row r="696" ht="15.75" customFormat="1" customHeight="1" s="135"/>
    <row r="697" ht="15.75" customFormat="1" customHeight="1" s="135"/>
    <row r="698" ht="15.75" customFormat="1" customHeight="1" s="135"/>
    <row r="699" ht="15.75" customFormat="1" customHeight="1" s="135"/>
    <row r="700" ht="15.75" customFormat="1" customHeight="1" s="135"/>
    <row r="701" ht="15.75" customFormat="1" customHeight="1" s="135"/>
    <row r="702" ht="15.75" customFormat="1" customHeight="1" s="135"/>
    <row r="703" ht="15.75" customFormat="1" customHeight="1" s="135"/>
    <row r="704" ht="15.75" customFormat="1" customHeight="1" s="135"/>
    <row r="705" ht="15.75" customFormat="1" customHeight="1" s="135"/>
    <row r="706" ht="15.75" customFormat="1" customHeight="1" s="135"/>
    <row r="707" ht="15.75" customFormat="1" customHeight="1" s="135"/>
    <row r="708" ht="15.75" customFormat="1" customHeight="1" s="135"/>
    <row r="709" ht="15.75" customFormat="1" customHeight="1" s="135"/>
    <row r="710" ht="15.75" customFormat="1" customHeight="1" s="135"/>
    <row r="711" ht="15.75" customFormat="1" customHeight="1" s="135"/>
    <row r="712" ht="15.75" customFormat="1" customHeight="1" s="135"/>
    <row r="713" ht="15.75" customFormat="1" customHeight="1" s="135"/>
    <row r="714" ht="15.75" customFormat="1" customHeight="1" s="135"/>
    <row r="715" ht="15.75" customFormat="1" customHeight="1" s="135"/>
    <row r="716" ht="15.75" customFormat="1" customHeight="1" s="135"/>
    <row r="717" ht="15.75" customFormat="1" customHeight="1" s="135"/>
    <row r="718" ht="15.75" customFormat="1" customHeight="1" s="135"/>
    <row r="719" ht="15.75" customFormat="1" customHeight="1" s="135"/>
    <row r="720" ht="15.75" customFormat="1" customHeight="1" s="135"/>
    <row r="721" ht="15.75" customFormat="1" customHeight="1" s="135"/>
    <row r="722" ht="15.75" customFormat="1" customHeight="1" s="135"/>
    <row r="723" ht="15.75" customFormat="1" customHeight="1" s="135"/>
    <row r="724" ht="15.75" customFormat="1" customHeight="1" s="135"/>
    <row r="725" ht="15.75" customFormat="1" customHeight="1" s="135"/>
    <row r="726" ht="15.75" customFormat="1" customHeight="1" s="135"/>
    <row r="727" ht="15.75" customFormat="1" customHeight="1" s="135"/>
    <row r="728" ht="15.75" customFormat="1" customHeight="1" s="135"/>
    <row r="729" ht="15.75" customFormat="1" customHeight="1" s="135"/>
    <row r="730" ht="15.75" customFormat="1" customHeight="1" s="135"/>
    <row r="731" ht="15.75" customFormat="1" customHeight="1" s="135"/>
    <row r="732" ht="15.75" customFormat="1" customHeight="1" s="135"/>
    <row r="733" ht="15.75" customFormat="1" customHeight="1" s="135"/>
    <row r="734" ht="15.75" customFormat="1" customHeight="1" s="135"/>
    <row r="735" ht="15.75" customFormat="1" customHeight="1" s="135"/>
    <row r="736" ht="15.75" customFormat="1" customHeight="1" s="135"/>
    <row r="737" ht="15.75" customFormat="1" customHeight="1" s="135"/>
    <row r="738" ht="15.75" customFormat="1" customHeight="1" s="135"/>
    <row r="739" ht="15.75" customFormat="1" customHeight="1" s="135"/>
    <row r="740" ht="15.75" customFormat="1" customHeight="1" s="135"/>
    <row r="741" ht="15.75" customFormat="1" customHeight="1" s="135"/>
    <row r="742" ht="15.75" customFormat="1" customHeight="1" s="135"/>
    <row r="743" ht="15.75" customFormat="1" customHeight="1" s="135"/>
    <row r="744" ht="15.75" customFormat="1" customHeight="1" s="135"/>
    <row r="745" ht="15.75" customFormat="1" customHeight="1" s="135"/>
    <row r="746" ht="15.75" customFormat="1" customHeight="1" s="135"/>
    <row r="747" ht="15.75" customFormat="1" customHeight="1" s="135"/>
    <row r="748" ht="15.75" customFormat="1" customHeight="1" s="135"/>
    <row r="749" ht="15.75" customFormat="1" customHeight="1" s="135"/>
    <row r="750" ht="15.75" customFormat="1" customHeight="1" s="135"/>
    <row r="751" ht="15.75" customFormat="1" customHeight="1" s="135"/>
    <row r="752" ht="15.75" customFormat="1" customHeight="1" s="135"/>
    <row r="753" ht="15.75" customFormat="1" customHeight="1" s="135"/>
    <row r="754" ht="15.75" customFormat="1" customHeight="1" s="135"/>
    <row r="755" ht="15.75" customFormat="1" customHeight="1" s="135"/>
    <row r="756" ht="15.75" customFormat="1" customHeight="1" s="135"/>
    <row r="757" ht="15.75" customFormat="1" customHeight="1" s="135"/>
    <row r="758" ht="15.75" customFormat="1" customHeight="1" s="135"/>
    <row r="759" ht="15.75" customFormat="1" customHeight="1" s="135"/>
    <row r="760" ht="15.75" customFormat="1" customHeight="1" s="135"/>
    <row r="761" ht="15.75" customFormat="1" customHeight="1" s="135"/>
    <row r="762" ht="15.75" customFormat="1" customHeight="1" s="135"/>
    <row r="763" ht="15.75" customFormat="1" customHeight="1" s="135"/>
    <row r="764" ht="15.75" customFormat="1" customHeight="1" s="135"/>
    <row r="765" ht="15.75" customFormat="1" customHeight="1" s="135"/>
    <row r="766" ht="15.75" customFormat="1" customHeight="1" s="135"/>
    <row r="767" ht="15.75" customFormat="1" customHeight="1" s="135"/>
    <row r="768" ht="15.75" customFormat="1" customHeight="1" s="135"/>
    <row r="769" ht="15.75" customFormat="1" customHeight="1" s="135"/>
    <row r="770" ht="15.75" customFormat="1" customHeight="1" s="135"/>
    <row r="771" ht="15.75" customFormat="1" customHeight="1" s="135"/>
    <row r="772" ht="15.75" customFormat="1" customHeight="1" s="135"/>
    <row r="773" ht="15.75" customFormat="1" customHeight="1" s="135"/>
    <row r="774" ht="15.75" customFormat="1" customHeight="1" s="135"/>
    <row r="775" ht="15.75" customFormat="1" customHeight="1" s="135"/>
    <row r="776" ht="15.75" customFormat="1" customHeight="1" s="135"/>
    <row r="777" ht="15.75" customFormat="1" customHeight="1" s="135"/>
    <row r="778" ht="15.75" customFormat="1" customHeight="1" s="135"/>
    <row r="779" ht="15.75" customFormat="1" customHeight="1" s="135"/>
    <row r="780" ht="15.75" customFormat="1" customHeight="1" s="135"/>
    <row r="781" ht="15.75" customFormat="1" customHeight="1" s="135"/>
    <row r="782" ht="15.75" customFormat="1" customHeight="1" s="135"/>
    <row r="783" ht="15.75" customFormat="1" customHeight="1" s="135"/>
    <row r="784" ht="15.75" customFormat="1" customHeight="1" s="135"/>
    <row r="785" ht="15.75" customFormat="1" customHeight="1" s="135"/>
    <row r="786" ht="15.75" customFormat="1" customHeight="1" s="135"/>
    <row r="787" ht="15.75" customFormat="1" customHeight="1" s="135"/>
    <row r="788" ht="15.75" customFormat="1" customHeight="1" s="135"/>
    <row r="789" ht="15.75" customFormat="1" customHeight="1" s="135"/>
    <row r="790" ht="15.75" customFormat="1" customHeight="1" s="135"/>
    <row r="791" ht="15.75" customFormat="1" customHeight="1" s="135"/>
    <row r="792" ht="15.75" customFormat="1" customHeight="1" s="135"/>
    <row r="793" ht="15.75" customFormat="1" customHeight="1" s="135"/>
    <row r="794" ht="15.75" customFormat="1" customHeight="1" s="135"/>
    <row r="795" ht="15.75" customFormat="1" customHeight="1" s="135"/>
    <row r="796" ht="15.75" customFormat="1" customHeight="1" s="135"/>
    <row r="797" ht="15.75" customFormat="1" customHeight="1" s="135"/>
    <row r="798" ht="15.75" customFormat="1" customHeight="1" s="135"/>
    <row r="799" ht="15.75" customFormat="1" customHeight="1" s="135"/>
    <row r="800" ht="15.75" customFormat="1" customHeight="1" s="135"/>
    <row r="801" ht="15.75" customFormat="1" customHeight="1" s="135"/>
    <row r="802" ht="15.75" customFormat="1" customHeight="1" s="135"/>
    <row r="803" ht="15.75" customFormat="1" customHeight="1" s="135"/>
    <row r="804" ht="15.75" customFormat="1" customHeight="1" s="135"/>
    <row r="805" ht="15.75" customFormat="1" customHeight="1" s="135"/>
    <row r="806" ht="15.75" customFormat="1" customHeight="1" s="135"/>
    <row r="807" ht="15.75" customFormat="1" customHeight="1" s="135"/>
    <row r="808" ht="15.75" customFormat="1" customHeight="1" s="135"/>
    <row r="809" ht="15.75" customFormat="1" customHeight="1" s="135"/>
    <row r="810" ht="15.75" customFormat="1" customHeight="1" s="135"/>
    <row r="811" ht="15.75" customFormat="1" customHeight="1" s="135"/>
    <row r="812" ht="15.75" customFormat="1" customHeight="1" s="135"/>
    <row r="813" ht="15.75" customFormat="1" customHeight="1" s="135"/>
    <row r="814" ht="15.75" customFormat="1" customHeight="1" s="135"/>
    <row r="815" ht="15.75" customFormat="1" customHeight="1" s="135"/>
    <row r="816" ht="15.75" customFormat="1" customHeight="1" s="135"/>
    <row r="817" ht="15.75" customFormat="1" customHeight="1" s="135"/>
    <row r="818" ht="15.75" customFormat="1" customHeight="1" s="135"/>
    <row r="819" ht="15.75" customFormat="1" customHeight="1" s="135"/>
    <row r="820" ht="15.75" customFormat="1" customHeight="1" s="135"/>
    <row r="821" ht="15.75" customFormat="1" customHeight="1" s="135"/>
    <row r="822" ht="15.75" customFormat="1" customHeight="1" s="135"/>
    <row r="823" ht="15.75" customFormat="1" customHeight="1" s="135"/>
    <row r="824" ht="15.75" customFormat="1" customHeight="1" s="135"/>
    <row r="825" ht="15.75" customFormat="1" customHeight="1" s="135"/>
    <row r="826" ht="15.75" customFormat="1" customHeight="1" s="135"/>
    <row r="827" ht="15.75" customFormat="1" customHeight="1" s="135"/>
    <row r="828" ht="15.75" customFormat="1" customHeight="1" s="135"/>
    <row r="829" ht="15.75" customFormat="1" customHeight="1" s="135"/>
    <row r="830" ht="15.75" customFormat="1" customHeight="1" s="135"/>
    <row r="831" ht="15.75" customFormat="1" customHeight="1" s="135"/>
    <row r="832" ht="15.75" customFormat="1" customHeight="1" s="135"/>
    <row r="833" ht="15.75" customFormat="1" customHeight="1" s="135"/>
    <row r="834" ht="15.75" customFormat="1" customHeight="1" s="135"/>
    <row r="835" ht="15.75" customFormat="1" customHeight="1" s="135"/>
    <row r="836" ht="15.75" customFormat="1" customHeight="1" s="135"/>
    <row r="837" ht="15.75" customFormat="1" customHeight="1" s="135"/>
    <row r="838" ht="15.75" customFormat="1" customHeight="1" s="135"/>
    <row r="839" ht="15.75" customFormat="1" customHeight="1" s="135"/>
    <row r="840" ht="15.75" customFormat="1" customHeight="1" s="135"/>
    <row r="841" ht="15.75" customFormat="1" customHeight="1" s="135"/>
    <row r="842" ht="15.75" customFormat="1" customHeight="1" s="135"/>
    <row r="843" ht="15.75" customFormat="1" customHeight="1" s="135"/>
    <row r="844" ht="15.75" customFormat="1" customHeight="1" s="135"/>
    <row r="845" ht="15.75" customFormat="1" customHeight="1" s="135"/>
    <row r="846" ht="15.75" customFormat="1" customHeight="1" s="135"/>
    <row r="847" ht="15.75" customFormat="1" customHeight="1" s="135"/>
    <row r="848" ht="15.75" customFormat="1" customHeight="1" s="135"/>
    <row r="849" ht="15.75" customFormat="1" customHeight="1" s="135"/>
    <row r="850" ht="15.75" customFormat="1" customHeight="1" s="135"/>
    <row r="851" ht="15.75" customFormat="1" customHeight="1" s="135"/>
    <row r="852" ht="15.75" customFormat="1" customHeight="1" s="135"/>
    <row r="853" ht="15.75" customFormat="1" customHeight="1" s="135"/>
    <row r="854" ht="15.75" customFormat="1" customHeight="1" s="135"/>
    <row r="855" ht="15.75" customFormat="1" customHeight="1" s="135"/>
    <row r="856" ht="15.75" customFormat="1" customHeight="1" s="135"/>
    <row r="857" ht="15.75" customFormat="1" customHeight="1" s="135"/>
    <row r="858" ht="15.75" customFormat="1" customHeight="1" s="135"/>
    <row r="859" ht="15.75" customFormat="1" customHeight="1" s="135"/>
    <row r="860" ht="15.75" customFormat="1" customHeight="1" s="135"/>
    <row r="861" ht="15.75" customFormat="1" customHeight="1" s="135"/>
    <row r="862" ht="15.75" customFormat="1" customHeight="1" s="135"/>
    <row r="863" ht="15.75" customFormat="1" customHeight="1" s="135"/>
    <row r="864" ht="15.75" customFormat="1" customHeight="1" s="135"/>
    <row r="865" ht="15.75" customFormat="1" customHeight="1" s="135"/>
    <row r="866" ht="15.75" customFormat="1" customHeight="1" s="135"/>
    <row r="867" ht="15.75" customFormat="1" customHeight="1" s="135"/>
    <row r="868" ht="15.75" customFormat="1" customHeight="1" s="135"/>
    <row r="869" ht="15.75" customFormat="1" customHeight="1" s="135"/>
    <row r="870" ht="15.75" customFormat="1" customHeight="1" s="135"/>
    <row r="871" ht="15.75" customFormat="1" customHeight="1" s="135"/>
    <row r="872" ht="15.75" customFormat="1" customHeight="1" s="135"/>
    <row r="873" ht="15.75" customFormat="1" customHeight="1" s="135"/>
    <row r="874" ht="15.75" customFormat="1" customHeight="1" s="135"/>
    <row r="875" ht="15.75" customFormat="1" customHeight="1" s="135"/>
    <row r="876" ht="15.75" customFormat="1" customHeight="1" s="135"/>
    <row r="877" ht="15.75" customFormat="1" customHeight="1" s="135"/>
    <row r="878" ht="15.75" customFormat="1" customHeight="1" s="135"/>
    <row r="879" ht="15.75" customFormat="1" customHeight="1" s="135"/>
    <row r="880" ht="15.75" customFormat="1" customHeight="1" s="135"/>
    <row r="881" ht="15.75" customFormat="1" customHeight="1" s="135"/>
    <row r="882" ht="15.75" customFormat="1" customHeight="1" s="135"/>
    <row r="883" ht="15.75" customFormat="1" customHeight="1" s="135"/>
    <row r="884" ht="15.75" customFormat="1" customHeight="1" s="135"/>
    <row r="885" ht="15.75" customFormat="1" customHeight="1" s="135"/>
    <row r="886" ht="15.75" customFormat="1" customHeight="1" s="135"/>
    <row r="887" ht="15.75" customFormat="1" customHeight="1" s="135"/>
    <row r="888" ht="15.75" customFormat="1" customHeight="1" s="135"/>
    <row r="889" ht="15.75" customFormat="1" customHeight="1" s="135"/>
    <row r="890" ht="15.75" customFormat="1" customHeight="1" s="135"/>
    <row r="891" ht="15.75" customFormat="1" customHeight="1" s="135"/>
    <row r="892" ht="15.75" customFormat="1" customHeight="1" s="135"/>
    <row r="893" ht="15.75" customFormat="1" customHeight="1" s="135"/>
    <row r="894" ht="15.75" customFormat="1" customHeight="1" s="135"/>
    <row r="895" ht="15.75" customFormat="1" customHeight="1" s="135"/>
    <row r="896" ht="15.75" customFormat="1" customHeight="1" s="135"/>
    <row r="897" ht="15.75" customFormat="1" customHeight="1" s="135"/>
    <row r="898" ht="15.75" customFormat="1" customHeight="1" s="135"/>
    <row r="899" ht="15.75" customFormat="1" customHeight="1" s="135"/>
    <row r="900" ht="15.75" customFormat="1" customHeight="1" s="135"/>
    <row r="901" ht="15.75" customFormat="1" customHeight="1" s="135"/>
    <row r="902" ht="15.75" customFormat="1" customHeight="1" s="135"/>
    <row r="903" ht="15.75" customFormat="1" customHeight="1" s="135"/>
    <row r="904" ht="15.75" customFormat="1" customHeight="1" s="135"/>
    <row r="905" ht="15.75" customFormat="1" customHeight="1" s="135"/>
    <row r="906" ht="15.75" customFormat="1" customHeight="1" s="135"/>
    <row r="907" ht="15.75" customFormat="1" customHeight="1" s="135"/>
    <row r="908" ht="15.75" customFormat="1" customHeight="1" s="135"/>
    <row r="909" ht="15.75" customFormat="1" customHeight="1" s="135"/>
    <row r="910" ht="15.75" customFormat="1" customHeight="1" s="135"/>
    <row r="911" ht="15.75" customFormat="1" customHeight="1" s="135"/>
    <row r="912" ht="15.75" customFormat="1" customHeight="1" s="135"/>
    <row r="913" ht="15.75" customFormat="1" customHeight="1" s="135"/>
    <row r="914" ht="15.75" customFormat="1" customHeight="1" s="135"/>
    <row r="915" ht="15.75" customFormat="1" customHeight="1" s="135"/>
    <row r="916" ht="15.75" customFormat="1" customHeight="1" s="135"/>
    <row r="917" ht="15.75" customFormat="1" customHeight="1" s="135"/>
    <row r="918" ht="15.75" customFormat="1" customHeight="1" s="135"/>
    <row r="919" ht="15.75" customFormat="1" customHeight="1" s="135"/>
    <row r="920" ht="15.75" customFormat="1" customHeight="1" s="135"/>
    <row r="921" ht="15.75" customFormat="1" customHeight="1" s="135"/>
    <row r="922" ht="15.75" customFormat="1" customHeight="1" s="135"/>
    <row r="923" ht="15.75" customFormat="1" customHeight="1" s="135"/>
    <row r="924" ht="15.75" customFormat="1" customHeight="1" s="135"/>
    <row r="925" ht="15.75" customFormat="1" customHeight="1" s="135"/>
    <row r="926" ht="15.75" customFormat="1" customHeight="1" s="135"/>
    <row r="927" ht="15.75" customFormat="1" customHeight="1" s="135"/>
    <row r="928" ht="15.75" customFormat="1" customHeight="1" s="135"/>
    <row r="929" ht="15.75" customFormat="1" customHeight="1" s="135"/>
    <row r="930" ht="15.75" customFormat="1" customHeight="1" s="135"/>
    <row r="931" ht="15.75" customFormat="1" customHeight="1" s="135"/>
    <row r="932" ht="15.75" customFormat="1" customHeight="1" s="135"/>
    <row r="933" ht="15.75" customFormat="1" customHeight="1" s="135"/>
    <row r="934" ht="15.75" customFormat="1" customHeight="1" s="135"/>
    <row r="935" ht="15.75" customFormat="1" customHeight="1" s="135"/>
    <row r="936" ht="15.75" customFormat="1" customHeight="1" s="135"/>
    <row r="937" ht="15.75" customFormat="1" customHeight="1" s="135"/>
    <row r="938" ht="15.75" customFormat="1" customHeight="1" s="135"/>
    <row r="939" ht="15.75" customFormat="1" customHeight="1" s="135"/>
    <row r="940" ht="15.75" customFormat="1" customHeight="1" s="135"/>
    <row r="941" ht="15.75" customFormat="1" customHeight="1" s="135"/>
    <row r="942" ht="15.75" customFormat="1" customHeight="1" s="135"/>
    <row r="943" ht="15.75" customFormat="1" customHeight="1" s="135"/>
    <row r="944" ht="15.75" customFormat="1" customHeight="1" s="135"/>
    <row r="945" ht="15.75" customFormat="1" customHeight="1" s="135"/>
    <row r="946" ht="15.75" customFormat="1" customHeight="1" s="135"/>
    <row r="947" ht="15.75" customFormat="1" customHeight="1" s="135"/>
    <row r="948" ht="15.75" customFormat="1" customHeight="1" s="135"/>
    <row r="949" ht="15.75" customFormat="1" customHeight="1" s="135"/>
    <row r="950" ht="15.75" customFormat="1" customHeight="1" s="135"/>
    <row r="951" ht="15.75" customFormat="1" customHeight="1" s="135"/>
    <row r="952" ht="15.75" customFormat="1" customHeight="1" s="135"/>
    <row r="953" ht="15.75" customFormat="1" customHeight="1" s="135"/>
    <row r="954" ht="15.75" customFormat="1" customHeight="1" s="135"/>
    <row r="955" ht="15.75" customFormat="1" customHeight="1" s="135"/>
    <row r="956" ht="15.75" customFormat="1" customHeight="1" s="135"/>
    <row r="957" ht="15.75" customFormat="1" customHeight="1" s="135"/>
    <row r="958" ht="15.75" customFormat="1" customHeight="1" s="135"/>
    <row r="959" ht="15.75" customFormat="1" customHeight="1" s="135"/>
    <row r="960" ht="15.75" customFormat="1" customHeight="1" s="135"/>
    <row r="961" ht="15.75" customFormat="1" customHeight="1" s="135"/>
    <row r="962" ht="15.75" customFormat="1" customHeight="1" s="135"/>
    <row r="963" ht="15.75" customFormat="1" customHeight="1" s="135"/>
    <row r="964" ht="15.75" customFormat="1" customHeight="1" s="135"/>
    <row r="965" ht="15.75" customFormat="1" customHeight="1" s="135"/>
    <row r="966" ht="15.75" customFormat="1" customHeight="1" s="135"/>
    <row r="967" ht="15.75" customFormat="1" customHeight="1" s="135"/>
    <row r="968" ht="15.75" customFormat="1" customHeight="1" s="135"/>
    <row r="969" ht="15.75" customFormat="1" customHeight="1" s="135"/>
    <row r="970" ht="15.75" customFormat="1" customHeight="1" s="135"/>
    <row r="971" ht="15.75" customFormat="1" customHeight="1" s="135"/>
    <row r="972" ht="15.75" customFormat="1" customHeight="1" s="135"/>
    <row r="973" ht="15.75" customFormat="1" customHeight="1" s="135"/>
    <row r="974" ht="15.75" customFormat="1" customHeight="1" s="135"/>
    <row r="975" ht="15.75" customFormat="1" customHeight="1" s="135"/>
    <row r="976" ht="15.75" customFormat="1" customHeight="1" s="135"/>
    <row r="977" ht="15.75" customFormat="1" customHeight="1" s="135"/>
    <row r="978" ht="15.75" customFormat="1" customHeight="1" s="135"/>
    <row r="979" ht="15.75" customFormat="1" customHeight="1" s="135"/>
    <row r="980" ht="15.75" customFormat="1" customHeight="1" s="135"/>
    <row r="981" ht="15.75" customFormat="1" customHeight="1" s="135"/>
    <row r="982" ht="15.75" customFormat="1" customHeight="1" s="135"/>
    <row r="983" ht="15.75" customFormat="1" customHeight="1" s="135"/>
    <row r="984" ht="15.75" customFormat="1" customHeight="1" s="135"/>
    <row r="985" ht="15.75" customFormat="1" customHeight="1" s="135"/>
    <row r="986" ht="15.75" customFormat="1" customHeight="1" s="135"/>
    <row r="987" ht="15.75" customFormat="1" customHeight="1" s="135"/>
    <row r="988" ht="15.75" customFormat="1" customHeight="1" s="135"/>
    <row r="989" ht="15.75" customFormat="1" customHeight="1" s="135"/>
    <row r="990" ht="15.75" customFormat="1" customHeight="1" s="135"/>
    <row r="991" ht="15.75" customFormat="1" customHeight="1" s="135"/>
    <row r="992" ht="15.75" customFormat="1" customHeight="1" s="135"/>
    <row r="993" ht="15.75" customFormat="1" customHeight="1" s="135"/>
    <row r="994" ht="15.75" customFormat="1" customHeight="1" s="135"/>
    <row r="995" ht="15.75" customFormat="1" customHeight="1" s="135"/>
    <row r="996" ht="15.75" customFormat="1" customHeight="1" s="135"/>
    <row r="997" ht="15.75" customFormat="1" customHeight="1" s="135"/>
    <row r="998" ht="15.75" customFormat="1" customHeight="1" s="135"/>
    <row r="999" ht="15.75" customFormat="1" customHeight="1" s="135"/>
    <row r="1000" ht="15.75" customFormat="1" customHeight="1" s="135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8"/>
    <col width="8.83203125" customWidth="1" style="40" min="9" max="16384"/>
  </cols>
  <sheetData>
    <row r="1" ht="24" customHeight="1">
      <c r="A1" s="139" t="inlineStr">
        <is>
          <t>관세청 주간 고시환율 (USD/KRW 수입환율)</t>
        </is>
      </c>
      <c r="B1" s="123" t="n"/>
      <c r="C1" s="123" t="n"/>
      <c r="D1" s="124" t="n"/>
    </row>
    <row r="2" ht="15.75" customHeight="1">
      <c r="A2" s="141" t="inlineStr">
        <is>
          <t>출처: 관세청 관세법령정보포털 (CLIP) - 주간환율조회</t>
        </is>
      </c>
      <c r="B2" s="123" t="n"/>
      <c r="C2" s="123" t="n"/>
      <c r="D2" s="124" t="n"/>
    </row>
    <row r="3" ht="15.75" customHeight="1">
      <c r="A3" s="141" t="inlineStr">
        <is>
          <t>관세법 제18조 기준: 수입신고일이 속하는 주의 전주 기준환율 평균 (매주 금요일 고시, 일~토 적용)</t>
        </is>
      </c>
      <c r="B3" s="123" t="n"/>
      <c r="C3" s="123" t="n"/>
      <c r="D3" s="124" t="n"/>
    </row>
    <row r="4" ht="15.75" customHeight="1">
      <c r="A4" s="140" t="inlineStr">
        <is>
          <t>업데이트: 2026-05-06 (관세청 고시환율)</t>
        </is>
      </c>
      <c r="B4" s="123" t="n"/>
      <c r="C4" s="123" t="n"/>
      <c r="D4" s="124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44" t="n">
        <v>45935</v>
      </c>
      <c r="B7" s="144" t="n">
        <v>45941</v>
      </c>
      <c r="C7" s="3" t="inlineStr">
        <is>
          <t>USD</t>
        </is>
      </c>
      <c r="D7" s="7" t="n">
        <v>1405.75</v>
      </c>
    </row>
    <row r="8" ht="18" customHeight="1">
      <c r="A8" s="144" t="n">
        <v>45942</v>
      </c>
      <c r="B8" s="144" t="n">
        <v>45948</v>
      </c>
      <c r="C8" s="3" t="inlineStr">
        <is>
          <t>USD</t>
        </is>
      </c>
      <c r="D8" s="7" t="n">
        <v>1401.9</v>
      </c>
    </row>
    <row r="9" ht="18" customHeight="1">
      <c r="A9" s="144" t="n">
        <v>45949</v>
      </c>
      <c r="B9" s="144" t="n">
        <v>45955</v>
      </c>
      <c r="C9" s="3" t="inlineStr">
        <is>
          <t>USD</t>
        </is>
      </c>
      <c r="D9" s="7" t="n">
        <v>1424.02</v>
      </c>
    </row>
    <row r="10" ht="18" customHeight="1">
      <c r="A10" s="144" t="n">
        <v>45956</v>
      </c>
      <c r="B10" s="144" t="n">
        <v>45962</v>
      </c>
      <c r="C10" s="3" t="inlineStr">
        <is>
          <t>USD</t>
        </is>
      </c>
      <c r="D10" s="7" t="n">
        <v>1426.02</v>
      </c>
    </row>
    <row r="11" ht="18" customHeight="1">
      <c r="A11" s="144" t="n">
        <v>45963</v>
      </c>
      <c r="B11" s="144" t="n">
        <v>45969</v>
      </c>
      <c r="C11" s="3" t="inlineStr">
        <is>
          <t>USD</t>
        </is>
      </c>
      <c r="D11" s="7" t="n">
        <v>1431.82</v>
      </c>
    </row>
    <row r="12" ht="18" customHeight="1">
      <c r="A12" s="144" t="n">
        <v>45970</v>
      </c>
      <c r="B12" s="144" t="n">
        <v>45976</v>
      </c>
      <c r="C12" s="3" t="inlineStr">
        <is>
          <t>USD</t>
        </is>
      </c>
      <c r="D12" s="7" t="n">
        <v>1437.34</v>
      </c>
    </row>
    <row r="13" ht="18" customHeight="1">
      <c r="A13" s="144" t="n">
        <v>45977</v>
      </c>
      <c r="B13" s="144" t="n">
        <v>45983</v>
      </c>
      <c r="C13" s="3" t="inlineStr">
        <is>
          <t>USD</t>
        </is>
      </c>
      <c r="D13" s="7" t="n">
        <v>1461.36</v>
      </c>
    </row>
    <row r="14" ht="18" customHeight="1">
      <c r="A14" s="144" t="n">
        <v>45984</v>
      </c>
      <c r="B14" s="144" t="n">
        <v>45990</v>
      </c>
      <c r="C14" s="3" t="inlineStr">
        <is>
          <t>USD</t>
        </is>
      </c>
      <c r="D14" s="7" t="n">
        <v>1463.08</v>
      </c>
    </row>
    <row r="15" ht="18" customHeight="1">
      <c r="A15" s="144" t="n">
        <v>45991</v>
      </c>
      <c r="B15" s="144" t="n">
        <v>45997</v>
      </c>
      <c r="C15" s="3" t="inlineStr">
        <is>
          <t>USD</t>
        </is>
      </c>
      <c r="D15" s="7" t="n">
        <v>1469.3</v>
      </c>
    </row>
    <row r="16" ht="18" customHeight="1">
      <c r="A16" s="144" t="n">
        <v>45998</v>
      </c>
      <c r="B16" s="144" t="n">
        <v>46004</v>
      </c>
      <c r="C16" s="3" t="inlineStr">
        <is>
          <t>USD</t>
        </is>
      </c>
      <c r="D16" s="7" t="n">
        <v>1468.96</v>
      </c>
    </row>
    <row r="17" ht="18" customHeight="1">
      <c r="A17" s="144" t="n">
        <v>46005</v>
      </c>
      <c r="B17" s="144" t="n">
        <v>46011</v>
      </c>
      <c r="C17" s="3" t="inlineStr">
        <is>
          <t>USD</t>
        </is>
      </c>
      <c r="D17" s="7" t="n">
        <v>1470.28</v>
      </c>
    </row>
    <row r="18" ht="18" customHeight="1">
      <c r="A18" s="144" t="n">
        <v>46012</v>
      </c>
      <c r="B18" s="144" t="n">
        <v>46018</v>
      </c>
      <c r="C18" s="3" t="inlineStr">
        <is>
          <t>USD</t>
        </is>
      </c>
      <c r="D18" s="7" t="n">
        <v>1474.96</v>
      </c>
    </row>
    <row r="19" ht="18" customHeight="1">
      <c r="A19" s="144" t="n">
        <v>46019</v>
      </c>
      <c r="B19" s="144" t="n">
        <v>46025</v>
      </c>
      <c r="C19" s="3" t="inlineStr">
        <is>
          <t>USD</t>
        </is>
      </c>
      <c r="D19" s="7" t="n">
        <v>1475.18</v>
      </c>
    </row>
    <row r="20" ht="18" customHeight="1">
      <c r="A20" s="144" t="n">
        <v>46026</v>
      </c>
      <c r="B20" s="144" t="n">
        <v>46032</v>
      </c>
      <c r="C20" s="3" t="inlineStr">
        <is>
          <t>USD</t>
        </is>
      </c>
      <c r="D20" s="7" t="n">
        <v>1436.5</v>
      </c>
    </row>
    <row r="21" ht="18" customHeight="1">
      <c r="A21" s="144" t="n">
        <v>46033</v>
      </c>
      <c r="B21" s="144" t="n">
        <v>46039</v>
      </c>
      <c r="C21" s="3" t="inlineStr">
        <is>
          <t>USD</t>
        </is>
      </c>
      <c r="D21" s="7" t="n">
        <v>1446.46</v>
      </c>
    </row>
    <row r="22" ht="18" customHeight="1">
      <c r="A22" s="144" t="n">
        <v>46040</v>
      </c>
      <c r="B22" s="144" t="n">
        <v>46046</v>
      </c>
      <c r="C22" s="3" t="inlineStr">
        <is>
          <t>USD</t>
        </is>
      </c>
      <c r="D22" s="7" t="n">
        <v>1467.96</v>
      </c>
    </row>
    <row r="23" ht="18" customHeight="1">
      <c r="A23" s="144" t="n">
        <v>46047</v>
      </c>
      <c r="B23" s="144" t="n">
        <v>46053</v>
      </c>
      <c r="C23" s="3" t="inlineStr">
        <is>
          <t>USD</t>
        </is>
      </c>
      <c r="D23" s="7" t="n">
        <v>1473.06</v>
      </c>
    </row>
    <row r="24" ht="18" customHeight="1">
      <c r="A24" s="144" t="n">
        <v>46054</v>
      </c>
      <c r="B24" s="144" t="n">
        <v>46060</v>
      </c>
      <c r="C24" s="3" t="inlineStr">
        <is>
          <t>USD</t>
        </is>
      </c>
      <c r="D24" s="7" t="n">
        <v>1442.88</v>
      </c>
    </row>
    <row r="25" ht="18" customHeight="1">
      <c r="A25" s="144" t="n">
        <v>46061</v>
      </c>
      <c r="B25" s="144" t="n">
        <v>46067</v>
      </c>
      <c r="C25" s="3" t="inlineStr">
        <is>
          <t>USD</t>
        </is>
      </c>
      <c r="D25" s="7" t="n">
        <v>1451.66</v>
      </c>
    </row>
    <row r="26" ht="18" customHeight="1">
      <c r="A26" s="144" t="n">
        <v>46068</v>
      </c>
      <c r="B26" s="144" t="n">
        <v>46074</v>
      </c>
      <c r="C26" s="3" t="inlineStr">
        <is>
          <t>USD</t>
        </is>
      </c>
      <c r="D26" s="7" t="n">
        <v>1458.02</v>
      </c>
    </row>
    <row r="27" ht="18" customHeight="1">
      <c r="A27" s="144" t="n">
        <v>46075</v>
      </c>
      <c r="B27" s="144" t="n">
        <v>46081</v>
      </c>
      <c r="C27" s="3" t="inlineStr">
        <is>
          <t>USD</t>
        </is>
      </c>
      <c r="D27" s="7" t="n">
        <v>1446.9</v>
      </c>
    </row>
    <row r="28" ht="18" customHeight="1">
      <c r="A28" s="144" t="n">
        <v>46082</v>
      </c>
      <c r="B28" s="144" t="n">
        <v>46088</v>
      </c>
      <c r="C28" s="3" t="inlineStr">
        <is>
          <t>USD</t>
        </is>
      </c>
      <c r="D28" s="7" t="n">
        <v>1439.26</v>
      </c>
    </row>
    <row r="29" ht="18" customHeight="1">
      <c r="A29" s="144" t="n">
        <v>46089</v>
      </c>
      <c r="B29" s="144" t="n">
        <v>46095</v>
      </c>
      <c r="C29" s="3" t="inlineStr">
        <is>
          <t>USD</t>
        </is>
      </c>
      <c r="D29" s="7" t="n">
        <v>1460.75</v>
      </c>
    </row>
    <row r="30" ht="18" customHeight="1">
      <c r="A30" s="144" t="n">
        <v>46096</v>
      </c>
      <c r="B30" s="144" t="n">
        <v>46102</v>
      </c>
      <c r="C30" s="3" t="inlineStr">
        <is>
          <t>USD</t>
        </is>
      </c>
      <c r="D30" s="7" t="n">
        <v>1477.5</v>
      </c>
    </row>
    <row r="31" ht="18" customHeight="1">
      <c r="A31" s="144" t="n">
        <v>46103</v>
      </c>
      <c r="B31" s="144" t="n">
        <v>46109</v>
      </c>
      <c r="C31" s="3" t="inlineStr">
        <is>
          <t>USD</t>
        </is>
      </c>
      <c r="D31" s="7" t="n">
        <v>1492.56</v>
      </c>
    </row>
    <row r="32" ht="18" customHeight="1">
      <c r="A32" s="144" t="n">
        <v>46110</v>
      </c>
      <c r="B32" s="144" t="n">
        <v>46116</v>
      </c>
      <c r="C32" s="3" t="inlineStr">
        <is>
          <t>USD</t>
        </is>
      </c>
      <c r="D32" s="7" t="n">
        <v>1500.92</v>
      </c>
    </row>
    <row r="33" ht="18" customHeight="1">
      <c r="A33" s="144" t="n">
        <v>46117</v>
      </c>
      <c r="B33" s="144" t="n">
        <v>46123</v>
      </c>
      <c r="C33" s="3" t="inlineStr">
        <is>
          <t>USD</t>
        </is>
      </c>
      <c r="D33" s="7" t="n">
        <v>1515.72</v>
      </c>
    </row>
    <row r="34" ht="18" customHeight="1">
      <c r="A34" s="144" t="n">
        <v>46124</v>
      </c>
      <c r="B34" s="144" t="n">
        <v>46130</v>
      </c>
      <c r="C34" s="3" t="inlineStr">
        <is>
          <t>USD</t>
        </is>
      </c>
      <c r="D34" s="7" t="n">
        <v>1495.76</v>
      </c>
    </row>
    <row r="35" ht="18" customHeight="1">
      <c r="A35" s="144" t="n">
        <v>46131</v>
      </c>
      <c r="B35" s="144" t="n">
        <v>46137</v>
      </c>
      <c r="C35" s="3" t="inlineStr">
        <is>
          <t>USD</t>
        </is>
      </c>
      <c r="D35" s="7" t="n">
        <v>1479.34</v>
      </c>
    </row>
    <row r="36" ht="18" customHeight="1">
      <c r="A36" s="144" t="n">
        <v>46138</v>
      </c>
      <c r="B36" s="144" t="n">
        <v>46144</v>
      </c>
      <c r="C36" s="3" t="inlineStr">
        <is>
          <t>USD</t>
        </is>
      </c>
      <c r="D36" s="7" t="n">
        <v>1476.92</v>
      </c>
    </row>
    <row r="37" ht="18" customHeight="1">
      <c r="A37" s="144" t="n">
        <v>46145</v>
      </c>
      <c r="B37" s="144" t="n">
        <v>46151</v>
      </c>
      <c r="C37" s="3" t="inlineStr">
        <is>
          <t>USD</t>
        </is>
      </c>
      <c r="D37" s="7" t="n">
        <v>1476.35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2026-05-06T07:32:54Z</dcterms:modified>
  <cp:lastModifiedBy>원석 도</cp:lastModifiedBy>
  <cp:revision>0</cp:revision>
</cp:coreProperties>
</file>