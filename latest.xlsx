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name="PO별 개당 수입원가" sheetId="1" state="visible" r:id="rId1"/>
    <sheet name="라이센스_워런티" sheetId="2" state="visible" r:id="rId2"/>
    <sheet name="합배송_비용안분" sheetId="3" state="visible" r:id="rId3"/>
    <sheet name="외화송금내역" sheetId="4" state="visible" r:id="rId4"/>
    <sheet name="Usance_LC" sheetId="5" state="visible" r:id="rId5"/>
    <sheet name="환율" sheetId="6" state="visible" r:id="rId6"/>
  </sheets>
  <definedNames>
    <definedName name="RemitTable1">'외화송금내역'!$A$3:$L$40</definedName>
    <definedName name="RemitTable2">'외화송금내역'!$A$43:$L$91</definedName>
    <definedName name="FxRateTable">'환율'!$A$7:$D$42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#,##0.0"/>
    <numFmt numFmtId="166" formatCode="0.0%"/>
    <numFmt numFmtId="167" formatCode="0&quot;일&quot;"/>
    <numFmt numFmtId="168" formatCode="yyyy-mm-dd h:mm:ss"/>
  </numFmts>
  <fonts count="24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</fonts>
  <fills count="1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5" fillId="0" borderId="0"/>
  </cellStyleXfs>
  <cellXfs count="24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RNR 재무팀</author>
  </authors>
  <commentLis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 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6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2026-06-10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inlineStr">
        <is>
          <t>-</t>
        </is>
      </c>
      <c r="H24" s="7" t="n">
        <v>36190</v>
      </c>
      <c r="I24" s="33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inlineStr">
        <is>
          <t>-</t>
        </is>
      </c>
      <c r="H25" s="7" t="n">
        <v>180</v>
      </c>
      <c r="I25" s="33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inlineStr">
        <is>
          <t>-</t>
        </is>
      </c>
      <c r="H26" s="7" t="n">
        <v>21280</v>
      </c>
      <c r="I26" s="33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/>
      <c r="H29" s="7" t="n">
        <v>4290</v>
      </c>
      <c r="I29" s="33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0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inlineStr">
        <is>
          <t>-</t>
        </is>
      </c>
      <c r="H30" s="80" t="n">
        <v>78209</v>
      </c>
      <c r="I30" s="18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inlineStr">
        <is>
          <t>-</t>
        </is>
      </c>
      <c r="H31" s="80" t="n">
        <v>8140</v>
      </c>
      <c r="I31" s="18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n"/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n"/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24" t="inlineStr">
        <is>
          <t>-</t>
        </is>
      </c>
      <c r="H35" s="126" t="n">
        <v>98800</v>
      </c>
      <c r="I35" s="126">
        <f>IFERROR(VLOOKUP(B35,RemitTable2,7,FALSE),0)</f>
        <v/>
      </c>
      <c r="J35" s="128" t="n">
        <v>0</v>
      </c>
      <c r="K35" s="128">
        <f>IFERROR(ROUND(H35*I35,0),0)</f>
        <v/>
      </c>
      <c r="L35" s="128">
        <f>IFERROR(VLOOKUP(B35,RemitTable2,10,FALSE),0)</f>
        <v/>
      </c>
      <c r="M35" s="128">
        <f>IFERROR(VLOOKUP(B35,RemitTable2,11,FALSE),0)</f>
        <v/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n"/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24" t="inlineStr">
        <is>
          <t>-</t>
        </is>
      </c>
      <c r="H36" s="126" t="n">
        <v>90</v>
      </c>
      <c r="I36" s="126">
        <f>IFERROR(VLOOKUP(B36,RemitTable2,7,FALSE),0)</f>
        <v/>
      </c>
      <c r="J36" s="128" t="n">
        <v>0</v>
      </c>
      <c r="K36" s="128">
        <f>IFERROR(ROUND(H36*I36,0),0)</f>
        <v/>
      </c>
      <c r="L36" s="128">
        <f>IFERROR(VLOOKUP(B36,RemitTable2,10,FALSE),0)</f>
        <v/>
      </c>
      <c r="M36" s="128">
        <f>IFERROR(VLOOKUP(B36,RemitTable2,11,FALSE),0)</f>
        <v/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>
        <f>IFERROR(VLOOKUP(B37,RemitTable2,7,FALSE),0)</f>
        <v/>
      </c>
      <c r="J37" s="213" t="n">
        <v>0</v>
      </c>
      <c r="K37" s="213">
        <f>IFERROR(ROUND(H37*I37,0),0)</f>
        <v/>
      </c>
      <c r="L37" s="213">
        <f>IFERROR(VLOOKUP(B37,RemitTable2,10,FALSE),0)</f>
        <v/>
      </c>
      <c r="M37" s="213">
        <f>IFERROR(VLOOKUP(B37,RemitTable2,11,FALSE),0)</f>
        <v/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>
        <f>IFERROR(VLOOKUP(B38,RemitTable2,7,FALSE),0)</f>
        <v/>
      </c>
      <c r="J38" s="213" t="n">
        <v>0</v>
      </c>
      <c r="K38" s="213">
        <f>IFERROR(ROUND(H38*I38,0),0)</f>
        <v/>
      </c>
      <c r="L38" s="213">
        <f>IFERROR(VLOOKUP(B38,RemitTable2,10,FALSE),0)</f>
        <v/>
      </c>
      <c r="M38" s="213">
        <f>IFERROR(VLOOKUP(B38,RemitTable2,11,FALSE),0)</f>
        <v/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20" t="n">
        <v>29</v>
      </c>
      <c r="B39" s="20" t="inlineStr">
        <is>
          <t>CPO667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83" t="n">
        <v>45925</v>
      </c>
      <c r="G39" s="184" t="n">
        <v>46080</v>
      </c>
      <c r="H39" s="24" t="n">
        <v>5673</v>
      </c>
      <c r="I39" s="185">
        <f>IFERROR(VLOOKUP(B39,RemitTable2,7,FALSE),0)</f>
        <v/>
      </c>
      <c r="J39" s="26" t="n">
        <v>205028994</v>
      </c>
      <c r="K39" s="26">
        <f>IFERROR(ROUND(H39*I39,0),0)</f>
        <v/>
      </c>
      <c r="L39" s="26">
        <f>IFERROR(VLOOKUP(B39,RemitTable2,10,FALSE),0)</f>
        <v/>
      </c>
      <c r="M39" s="26">
        <f>IFERROR(VLOOKUP(B39,RemitTable2,11,FALSE),0)</f>
        <v/>
      </c>
      <c r="N39" s="20" t="inlineStr">
        <is>
          <t>EW CP2220</t>
        </is>
      </c>
      <c r="O39" s="20" t="inlineStr">
        <is>
          <t>-</t>
        </is>
      </c>
      <c r="P39" s="20" t="inlineStr">
        <is>
          <t>-</t>
        </is>
      </c>
      <c r="Q39" s="24">
        <f>IF(P39="","",IFERROR(VLOOKUP(O39,FxRateTable,4,TRUE),""))</f>
        <v/>
      </c>
      <c r="R39" s="26">
        <f>IF(P39="","",H39)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S39+T39+W39</f>
        <v/>
      </c>
      <c r="AA39" s="26">
        <f>K39+L39+M39+IFERROR(VLOOKUP(B39,RemitTable2,9,FALSE),0)+Y39+Z39</f>
        <v/>
      </c>
      <c r="AB39" s="27" t="n">
        <v>1</v>
      </c>
      <c r="AC39" s="26">
        <f>ROUND(AA39/AB39,0)</f>
        <v/>
      </c>
      <c r="AD39" s="20" t="inlineStr">
        <is>
          <t>2025-09</t>
        </is>
      </c>
      <c r="AE39" s="184" t="inlineStr">
        <is>
          <t>2025-09-13</t>
        </is>
      </c>
      <c r="AF39" s="183" t="inlineStr">
        <is>
          <t>2026-08-28</t>
        </is>
      </c>
    </row>
    <row r="40" ht="15.75" customHeight="1">
      <c r="A40" s="20" t="n">
        <v>30</v>
      </c>
      <c r="B40" s="20" t="inlineStr">
        <is>
          <t>GPO458</t>
        </is>
      </c>
      <c r="C40" s="21" t="inlineStr">
        <is>
          <t>GDC</t>
        </is>
      </c>
      <c r="D40" s="20" t="inlineStr">
        <is>
          <t>Net 30 days</t>
        </is>
      </c>
      <c r="E40" s="21" t="inlineStr">
        <is>
          <t>라이센스</t>
        </is>
      </c>
      <c r="F40" s="183" t="n">
        <v>45982</v>
      </c>
      <c r="G40" s="184" t="n">
        <v>46020</v>
      </c>
      <c r="H40" s="24" t="n">
        <v>350</v>
      </c>
      <c r="I40" s="185">
        <f>IFERROR(VLOOKUP(B40,RemitTable2,7,FALSE),0)</f>
        <v/>
      </c>
      <c r="J40" s="26" t="n">
        <v>18264679</v>
      </c>
      <c r="K40" s="26">
        <f>IFERROR(ROUND(H40*I40,0),0)</f>
        <v/>
      </c>
      <c r="L40" s="26">
        <f>IFERROR(VLOOKUP(B40,RemitTable2,10,FALSE),0)</f>
        <v/>
      </c>
      <c r="M40" s="26">
        <f>IFERROR(VLOOKUP(B40,RemitTable2,11,FALSE),0)</f>
        <v/>
      </c>
      <c r="N40" s="20" t="inlineStr">
        <is>
          <t>HFR License</t>
        </is>
      </c>
      <c r="O40" s="20" t="inlineStr">
        <is>
          <t>-</t>
        </is>
      </c>
      <c r="P40" s="20" t="inlineStr">
        <is>
          <t>-</t>
        </is>
      </c>
      <c r="Q40" s="24">
        <f>IF(P40="","",IFERROR(VLOOKUP(O40,FxRateTable,4,TRUE),""))</f>
        <v/>
      </c>
      <c r="R40" s="26">
        <f>IF(P40="","",H40)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S40+T40+W40</f>
        <v/>
      </c>
      <c r="AA40" s="26">
        <f>K40+L40+M40+IFERROR(VLOOKUP(B40,RemitTable2,9,FALSE),0)+Y40+Z40</f>
        <v/>
      </c>
      <c r="AB40" s="27" t="n">
        <v>1</v>
      </c>
      <c r="AC40" s="26">
        <f>ROUND(AA40/AB40,0)</f>
        <v/>
      </c>
      <c r="AD40" s="20" t="inlineStr">
        <is>
          <t>2025-12</t>
        </is>
      </c>
      <c r="AE40" s="184" t="inlineStr">
        <is>
          <t>2025-12-01</t>
        </is>
      </c>
      <c r="AF40" s="183" t="inlineStr">
        <is>
          <t>2026-11-30</t>
        </is>
      </c>
    </row>
    <row r="41" ht="15.75" customHeight="1">
      <c r="A41" s="20" t="n">
        <v>31</v>
      </c>
      <c r="B41" s="20" t="inlineStr">
        <is>
          <t>CPO681</t>
        </is>
      </c>
      <c r="C41" s="21" t="inlineStr">
        <is>
          <t>Christie</t>
        </is>
      </c>
      <c r="D41" s="20" t="inlineStr">
        <is>
          <t>Net 45 days</t>
        </is>
      </c>
      <c r="E41" s="21" t="inlineStr">
        <is>
          <t>워런티(EW)</t>
        </is>
      </c>
      <c r="F41" s="183" t="n">
        <v>45993</v>
      </c>
      <c r="G41" s="184" t="n">
        <v>46064</v>
      </c>
      <c r="H41" s="24" t="n">
        <v>26358</v>
      </c>
      <c r="I41" s="185">
        <f>IFERROR(VLOOKUP(B41,RemitTable2,7,FALSE),0)</f>
        <v/>
      </c>
      <c r="J41" s="26" t="n">
        <v>38550844</v>
      </c>
      <c r="K41" s="26">
        <f>IFERROR(ROUND(H41*I41,0),0)</f>
        <v/>
      </c>
      <c r="L41" s="26">
        <f>IFERROR(VLOOKUP(B41,RemitTable2,10,FALSE),0)</f>
        <v/>
      </c>
      <c r="M41" s="26">
        <f>IFERROR(VLOOKUP(B41,RemitTable2,11,FALSE),0)</f>
        <v/>
      </c>
      <c r="N41" s="20" t="inlineStr">
        <is>
          <t>EW CP2309/2315/2320-RGB</t>
        </is>
      </c>
      <c r="O41" s="20" t="inlineStr">
        <is>
          <t>-</t>
        </is>
      </c>
      <c r="P41" s="20" t="inlineStr">
        <is>
          <t>-</t>
        </is>
      </c>
      <c r="Q41" s="24">
        <f>IF(P41="","",IFERROR(VLOOKUP(O41,FxRateTable,4,TRUE),""))</f>
        <v/>
      </c>
      <c r="R41" s="26">
        <f>IF(P41="","",H41)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S41+T41+W41</f>
        <v/>
      </c>
      <c r="AA41" s="26">
        <f>K41+L41+M41+IFERROR(VLOOKUP(B41,RemitTable2,9,FALSE),0)+Y41+Z41</f>
        <v/>
      </c>
      <c r="AB41" s="27" t="n">
        <v>1</v>
      </c>
      <c r="AC41" s="26">
        <f>ROUND(AA41/AB41,0)</f>
        <v/>
      </c>
      <c r="AD41" s="20" t="inlineStr">
        <is>
          <t>2025-12</t>
        </is>
      </c>
      <c r="AE41" s="184" t="inlineStr">
        <is>
          <t>2025-12-22</t>
        </is>
      </c>
      <c r="AF41" s="183" t="inlineStr">
        <is>
          <t>2026-12-21</t>
        </is>
      </c>
    </row>
    <row r="42" ht="15.75" customHeight="1">
      <c r="A42" s="20" t="n">
        <v>32</v>
      </c>
      <c r="B42" s="20" t="inlineStr">
        <is>
          <t>GPO459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83" t="n">
        <v>46007</v>
      </c>
      <c r="G42" s="184" t="n">
        <v>46043</v>
      </c>
      <c r="H42" s="24" t="n">
        <v>450</v>
      </c>
      <c r="I42" s="185">
        <f>IFERROR(VLOOKUP(B42,RemitTable2,7,FALSE),0)</f>
        <v/>
      </c>
      <c r="J42" s="26" t="n">
        <v>5505104</v>
      </c>
      <c r="K42" s="26">
        <f>IFERROR(ROUND(H42*I42,0),0)</f>
        <v/>
      </c>
      <c r="L42" s="26">
        <f>IFERROR(VLOOKUP(B42,RemitTable2,10,FALSE),0)</f>
        <v/>
      </c>
      <c r="M42" s="26">
        <f>IFERROR(VLOOKUP(B42,RemitTable2,11,FALSE),0)</f>
        <v/>
      </c>
      <c r="N42" s="20" t="inlineStr">
        <is>
          <t>TMS-2000 EW</t>
        </is>
      </c>
      <c r="O42" s="20" t="inlineStr">
        <is>
          <t>-</t>
        </is>
      </c>
      <c r="P42" s="20" t="inlineStr">
        <is>
          <t>-</t>
        </is>
      </c>
      <c r="Q42" s="24">
        <f>IF(P42="","",IFERROR(VLOOKUP(O42,FxRateTable,4,TRUE),""))</f>
        <v/>
      </c>
      <c r="R42" s="26">
        <f>IF(P42="","",H42)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S42+T42+W42</f>
        <v/>
      </c>
      <c r="AA42" s="26">
        <f>K42+L42+M42+IFERROR(VLOOKUP(B42,RemitTable2,9,FALSE),0)+Y42+Z42</f>
        <v/>
      </c>
      <c r="AB42" s="27" t="n">
        <v>1</v>
      </c>
      <c r="AC42" s="26">
        <f>ROUND(AA42/AB42,0)</f>
        <v/>
      </c>
      <c r="AD42" s="20" t="inlineStr">
        <is>
          <t>2026-01</t>
        </is>
      </c>
      <c r="AE42" s="184" t="inlineStr">
        <is>
          <t>2026-01-01</t>
        </is>
      </c>
      <c r="AF42" s="183" t="inlineStr">
        <is>
          <t>2026-12-31</t>
        </is>
      </c>
    </row>
    <row r="43" ht="15.75" customHeight="1">
      <c r="A43" s="20" t="n">
        <v>33</v>
      </c>
      <c r="B43" s="20" t="inlineStr">
        <is>
          <t>GPO461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46007</v>
      </c>
      <c r="G43" s="184" t="n">
        <v>46043</v>
      </c>
      <c r="H43" s="24" t="n">
        <v>540</v>
      </c>
      <c r="I43" s="185">
        <f>IFERROR(VLOOKUP(B43,RemitTable2,7,FALSE),0)</f>
        <v/>
      </c>
      <c r="J43" s="26" t="n">
        <v>5505104</v>
      </c>
      <c r="K43" s="26">
        <f>IFERROR(ROUND(H43*I43,0),0)</f>
        <v/>
      </c>
      <c r="L43" s="26">
        <f>IFERROR(VLOOKUP(B43,RemitTable2,10,FALSE),0)</f>
        <v/>
      </c>
      <c r="M43" s="26">
        <f>IFERROR(VLOOKUP(B43,RemitTable2,11,FALSE),0)</f>
        <v/>
      </c>
      <c r="N43" s="20" t="inlineStr">
        <is>
          <t>TMS-1000 EW</t>
        </is>
      </c>
      <c r="O43" s="20" t="inlineStr">
        <is>
          <t>-</t>
        </is>
      </c>
      <c r="P43" s="20" t="inlineStr">
        <is>
          <t>-</t>
        </is>
      </c>
      <c r="Q43" s="24">
        <f>IF(P43="","",IFERROR(VLOOKUP(O43,FxRateTable,4,TRUE),""))</f>
        <v/>
      </c>
      <c r="R43" s="26">
        <f>IF(P43="","",H43)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S43+T43+W43</f>
        <v/>
      </c>
      <c r="AA43" s="26">
        <f>K43+L43+M43+IFERROR(VLOOKUP(B43,RemitTable2,9,FALSE),0)+Y43+Z43</f>
        <v/>
      </c>
      <c r="AB43" s="27" t="n">
        <v>1</v>
      </c>
      <c r="AC43" s="26">
        <f>ROUND(AA43/AB43,0)</f>
        <v/>
      </c>
      <c r="AD43" s="20" t="inlineStr">
        <is>
          <t>2025-11</t>
        </is>
      </c>
      <c r="AE43" s="184" t="inlineStr">
        <is>
          <t>2025-11-01</t>
        </is>
      </c>
      <c r="AF43" s="183" t="inlineStr">
        <is>
          <t>2026-10-30</t>
        </is>
      </c>
    </row>
    <row r="44" ht="15.75" customHeight="1">
      <c r="A44" s="20" t="n">
        <v>34</v>
      </c>
      <c r="B44" s="20" t="inlineStr">
        <is>
          <t>CPO685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83" t="n">
        <v>46010</v>
      </c>
      <c r="G44" s="184" t="n">
        <v>46080</v>
      </c>
      <c r="H44" s="24" t="n">
        <v>136516</v>
      </c>
      <c r="I44" s="185">
        <f>IFERROR(VLOOKUP(B44,RemitTable2,7,FALSE),0)</f>
        <v/>
      </c>
      <c r="J44" s="26" t="n">
        <v>205028994</v>
      </c>
      <c r="K44" s="26">
        <f>IFERROR(ROUND(H44*I44,0),0)</f>
        <v/>
      </c>
      <c r="L44" s="26">
        <f>IFERROR(VLOOKUP(B44,RemitTable2,10,FALSE),0)</f>
        <v/>
      </c>
      <c r="M44" s="26">
        <f>IFERROR(VLOOKUP(B44,RemitTable2,11,FALSE),0)</f>
        <v/>
      </c>
      <c r="N44" s="20" t="inlineStr">
        <is>
          <t>EW 대량 (CP2208~CP4450)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2026-01</t>
        </is>
      </c>
      <c r="AE44" s="184" t="inlineStr">
        <is>
          <t>2026-01-01</t>
        </is>
      </c>
      <c r="AF44" s="183" t="inlineStr">
        <is>
          <t>2026-12-31</t>
        </is>
      </c>
    </row>
    <row r="45" ht="15.75" customHeight="1">
      <c r="A45" s="20" t="n">
        <v>35</v>
      </c>
      <c r="B45" s="20" t="inlineStr">
        <is>
          <t>GPO465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83" t="n">
        <v>46015</v>
      </c>
      <c r="G45" s="184" t="inlineStr">
        <is>
          <t>-</t>
        </is>
      </c>
      <c r="H45" s="24" t="n">
        <v>76054</v>
      </c>
      <c r="I45" s="185">
        <f>IFERROR(VLOOKUP(B45,RemitTable2,7,FALSE),0)</f>
        <v/>
      </c>
      <c r="J45" s="26" t="n">
        <v>0</v>
      </c>
      <c r="K45" s="26">
        <f>IFERROR(ROUND(H45*I45,0),0)</f>
        <v/>
      </c>
      <c r="L45" s="26">
        <f>IFERROR(VLOOKUP(B45,RemitTable2,10,FALSE),0)</f>
        <v/>
      </c>
      <c r="M45" s="26">
        <f>IFERROR(VLOOKUP(B45,RemitTable2,11,FALSE),0)</f>
        <v/>
      </c>
      <c r="N45" s="20" t="inlineStr">
        <is>
          <t>EW 대량 (SR/SX/TMS)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2026-01</t>
        </is>
      </c>
      <c r="AE45" s="184" t="inlineStr">
        <is>
          <t>2026-01-01</t>
        </is>
      </c>
      <c r="AF45" s="183" t="inlineStr">
        <is>
          <t>2026-12-31</t>
        </is>
      </c>
    </row>
    <row r="46" ht="15.75" customHeight="1">
      <c r="A46" s="20" t="n">
        <v>36</v>
      </c>
      <c r="B46" s="20" t="inlineStr">
        <is>
          <t>CPO686</t>
        </is>
      </c>
      <c r="C46" s="21" t="inlineStr">
        <is>
          <t>Christie</t>
        </is>
      </c>
      <c r="D46" s="20" t="inlineStr">
        <is>
          <t>Net 45 days</t>
        </is>
      </c>
      <c r="E46" s="21" t="inlineStr">
        <is>
          <t>워런티(EW)</t>
        </is>
      </c>
      <c r="F46" s="183" t="n">
        <v>46029</v>
      </c>
      <c r="G46" s="184" t="n">
        <v>46072</v>
      </c>
      <c r="H46" s="24" t="n">
        <v>14793</v>
      </c>
      <c r="I46" s="185">
        <f>IFERROR(VLOOKUP(B46,RemitTable2,7,FALSE),0)</f>
        <v/>
      </c>
      <c r="J46" s="26" t="n">
        <v>25506948</v>
      </c>
      <c r="K46" s="26">
        <f>IFERROR(ROUND(H46*I46,0),0)</f>
        <v/>
      </c>
      <c r="L46" s="26">
        <f>IFERROR(VLOOKUP(B46,RemitTable2,10,FALSE),0)</f>
        <v/>
      </c>
      <c r="M46" s="26">
        <f>IFERROR(VLOOKUP(B46,RemitTable2,11,FALSE),0)</f>
        <v/>
      </c>
      <c r="N46" s="20" t="inlineStr">
        <is>
          <t>EW CP2315/CP4440-RGB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2026-01</t>
        </is>
      </c>
      <c r="AE46" s="184" t="inlineStr">
        <is>
          <t>2026-01-30</t>
        </is>
      </c>
      <c r="AF46" s="183" t="inlineStr">
        <is>
          <t>2027-01-29</t>
        </is>
      </c>
    </row>
    <row r="47" ht="15.75" customHeight="1">
      <c r="A47" s="20" t="n">
        <v>37</v>
      </c>
      <c r="B47" s="20" t="inlineStr">
        <is>
          <t>CPO687</t>
        </is>
      </c>
      <c r="C47" s="21" t="inlineStr">
        <is>
          <t>Christie</t>
        </is>
      </c>
      <c r="D47" s="20" t="inlineStr">
        <is>
          <t>Net 45 days</t>
        </is>
      </c>
      <c r="E47" s="21" t="inlineStr">
        <is>
          <t>워런티(EW)</t>
        </is>
      </c>
      <c r="F47" s="183" t="n">
        <v>46029</v>
      </c>
      <c r="G47" s="184" t="inlineStr">
        <is>
          <t>-</t>
        </is>
      </c>
      <c r="H47" s="24" t="n">
        <v>26656</v>
      </c>
      <c r="I47" s="185">
        <f>IFERROR(VLOOKUP(B47,RemitTable2,7,FALSE),0)</f>
        <v/>
      </c>
      <c r="J47" s="26" t="n">
        <v>0</v>
      </c>
      <c r="K47" s="26">
        <f>IFERROR(ROUND(H47*I47,0),0)</f>
        <v/>
      </c>
      <c r="L47" s="26">
        <f>IFERROR(VLOOKUP(B47,RemitTable2,10,FALSE),0)</f>
        <v/>
      </c>
      <c r="M47" s="26">
        <f>IFERROR(VLOOKUP(B47,RemitTable2,11,FALSE),0)</f>
        <v/>
      </c>
      <c r="N47" s="20" t="inlineStr">
        <is>
          <t>EW (홀딩)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-</t>
        </is>
      </c>
      <c r="AF47" s="183" t="inlineStr">
        <is>
          <t>-</t>
        </is>
      </c>
    </row>
    <row r="48" ht="15.75" customHeight="1">
      <c r="A48" s="20" t="n">
        <v>38</v>
      </c>
      <c r="B48" s="20" t="inlineStr">
        <is>
          <t>GPO462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라이센스</t>
        </is>
      </c>
      <c r="F48" s="183" t="n">
        <v>46042</v>
      </c>
      <c r="G48" s="184" t="n">
        <v>46057</v>
      </c>
      <c r="H48" s="24" t="n">
        <v>1440</v>
      </c>
      <c r="I48" s="185">
        <f>IFERROR(VLOOKUP(B48,RemitTable2,7,FALSE),0)</f>
        <v/>
      </c>
      <c r="J48" s="26" t="n">
        <v>16908206</v>
      </c>
      <c r="K48" s="26">
        <f>IFERROR(ROUND(H48*I48,0),0)</f>
        <v/>
      </c>
      <c r="L48" s="26">
        <f>IFERROR(VLOOKUP(B48,RemitTable2,10,FALSE),0)</f>
        <v/>
      </c>
      <c r="M48" s="26">
        <f>IFERROR(VLOOKUP(B48,RemitTable2,11,FALSE),0)</f>
        <v/>
      </c>
      <c r="N48" s="20" t="inlineStr">
        <is>
          <t>TMS-2000 License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2026-01</t>
        </is>
      </c>
      <c r="AE48" s="184" t="inlineStr">
        <is>
          <t>2026-01-01</t>
        </is>
      </c>
      <c r="AF48" s="183" t="inlineStr">
        <is>
          <t>2026-12-31</t>
        </is>
      </c>
    </row>
    <row r="49" ht="15.75" customHeight="1">
      <c r="A49" s="20" t="n">
        <v>39</v>
      </c>
      <c r="B49" s="20" t="inlineStr">
        <is>
          <t>GPO463</t>
        </is>
      </c>
      <c r="C49" s="21" t="inlineStr">
        <is>
          <t>GDC</t>
        </is>
      </c>
      <c r="D49" s="20" t="inlineStr">
        <is>
          <t>Net 30 days</t>
        </is>
      </c>
      <c r="E49" s="21" t="inlineStr">
        <is>
          <t>워런티(EW)</t>
        </is>
      </c>
      <c r="F49" s="183" t="n">
        <v>46042</v>
      </c>
      <c r="G49" s="184" t="n">
        <v>46057</v>
      </c>
      <c r="H49" s="24" t="n">
        <v>4489</v>
      </c>
      <c r="I49" s="185">
        <f>IFERROR(VLOOKUP(B49,RemitTable2,7,FALSE),0)</f>
        <v/>
      </c>
      <c r="J49" s="26" t="n">
        <v>16908206</v>
      </c>
      <c r="K49" s="26">
        <f>IFERROR(ROUND(H49*I49,0),0)</f>
        <v/>
      </c>
      <c r="L49" s="26">
        <f>IFERROR(VLOOKUP(B49,RemitTable2,10,FALSE),0)</f>
        <v/>
      </c>
      <c r="M49" s="26">
        <f>IFERROR(VLOOKUP(B49,RemitTable2,11,FALSE),0)</f>
        <v/>
      </c>
      <c r="N49" s="20" t="inlineStr">
        <is>
          <t>SX/SR EW (CGV/Lotte)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40</v>
      </c>
      <c r="B50" s="20" t="inlineStr">
        <is>
          <t>GPO464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46042</v>
      </c>
      <c r="G50" s="184" t="n">
        <v>46057</v>
      </c>
      <c r="H50" s="24" t="n">
        <v>5670.57</v>
      </c>
      <c r="I50" s="185">
        <f>IFERROR(VLOOKUP(B50,RemitTable2,7,FALSE),0)</f>
        <v/>
      </c>
      <c r="J50" s="26" t="n">
        <v>16908206</v>
      </c>
      <c r="K50" s="26">
        <f>IFERROR(ROUND(H50*I50,0),0)</f>
        <v/>
      </c>
      <c r="L50" s="26">
        <f>IFERROR(VLOOKUP(B50,RemitTable2,10,FALSE),0)</f>
        <v/>
      </c>
      <c r="M50" s="26">
        <f>IFERROR(VLOOKUP(B50,RemitTable2,11,FALSE),0)</f>
        <v/>
      </c>
      <c r="N50" s="20" t="inlineStr">
        <is>
          <t>SR-1000/SX-3000 EW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41</v>
      </c>
      <c r="B51" s="20" t="inlineStr">
        <is>
          <t>CPO691</t>
        </is>
      </c>
      <c r="C51" s="21" t="inlineStr">
        <is>
          <t>Christie</t>
        </is>
      </c>
      <c r="D51" s="20" t="inlineStr">
        <is>
          <t>Net 45 days</t>
        </is>
      </c>
      <c r="E51" s="21" t="inlineStr">
        <is>
          <t>워런티(EW)</t>
        </is>
      </c>
      <c r="F51" s="183" t="n">
        <v>46057</v>
      </c>
      <c r="G51" s="184" t="n">
        <v>46113</v>
      </c>
      <c r="H51" s="24" t="n">
        <v>24614</v>
      </c>
      <c r="I51" s="185">
        <f>IFERROR(VLOOKUP(B51,RemitTable2,7,FALSE),0)</f>
        <v/>
      </c>
      <c r="J51" s="26" t="n">
        <v>51777431</v>
      </c>
      <c r="K51" s="26">
        <f>IFERROR(ROUND(H51*I51,0),0)</f>
        <v/>
      </c>
      <c r="L51" s="26">
        <f>IFERROR(VLOOKUP(B51,RemitTable2,10,FALSE),0)</f>
        <v/>
      </c>
      <c r="M51" s="26">
        <f>IFERROR(VLOOKUP(B51,RemitTable2,11,FALSE),0)</f>
        <v/>
      </c>
      <c r="N51" s="20" t="inlineStr">
        <is>
          <t>EW (메가박스 외)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2026-03</t>
        </is>
      </c>
      <c r="AE51" s="184" t="inlineStr">
        <is>
          <t>2026-03-01</t>
        </is>
      </c>
      <c r="AF51" s="183" t="inlineStr">
        <is>
          <t>2027-02-28</t>
        </is>
      </c>
    </row>
    <row r="52" ht="15.75" customHeight="1">
      <c r="A52" s="20" t="n">
        <v>42</v>
      </c>
      <c r="B52" s="20" t="inlineStr">
        <is>
          <t>GPO469</t>
        </is>
      </c>
      <c r="C52" s="21" t="inlineStr">
        <is>
          <t>GDC</t>
        </is>
      </c>
      <c r="D52" s="20" t="inlineStr">
        <is>
          <t>Net 30 days</t>
        </is>
      </c>
      <c r="E52" s="21" t="inlineStr">
        <is>
          <t>워런티(EW)</t>
        </is>
      </c>
      <c r="F52" s="183" t="n">
        <v>46060</v>
      </c>
      <c r="G52" s="184" t="n">
        <v>46113</v>
      </c>
      <c r="H52" s="24" t="n">
        <v>3993.05</v>
      </c>
      <c r="I52" s="185">
        <f>IFERROR(VLOOKUP(B52,RemitTable2,7,FALSE),0)</f>
        <v/>
      </c>
      <c r="J52" s="26" t="n">
        <v>9919642</v>
      </c>
      <c r="K52" s="26">
        <f>IFERROR(ROUND(H52*I52,0),0)</f>
        <v/>
      </c>
      <c r="L52" s="26">
        <f>IFERROR(VLOOKUP(B52,RemitTable2,10,FALSE),0)</f>
        <v/>
      </c>
      <c r="M52" s="26">
        <f>IFERROR(VLOOKUP(B52,RemitTable2,11,FALSE),0)</f>
        <v/>
      </c>
      <c r="N52" s="20" t="inlineStr">
        <is>
          <t>SR/SX EW (하남미사 외)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2026-01</t>
        </is>
      </c>
      <c r="AE52" s="184" t="inlineStr">
        <is>
          <t>2026-01-01</t>
        </is>
      </c>
      <c r="AF52" s="183" t="inlineStr">
        <is>
          <t>2027-02-22</t>
        </is>
      </c>
    </row>
    <row r="53" ht="15.75" customHeight="1">
      <c r="A53" s="20" t="n">
        <v>43</v>
      </c>
      <c r="B53" s="20" t="inlineStr">
        <is>
          <t>GPO470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라이센스</t>
        </is>
      </c>
      <c r="F53" s="183" t="n">
        <v>46080</v>
      </c>
      <c r="G53" s="184" t="n">
        <v>46113</v>
      </c>
      <c r="H53" s="24" t="n">
        <v>360</v>
      </c>
      <c r="I53" s="185">
        <f>IFERROR(VLOOKUP(B53,RemitTable2,7,FALSE),0)</f>
        <v/>
      </c>
      <c r="J53" s="26" t="n">
        <v>9919642</v>
      </c>
      <c r="K53" s="26">
        <f>IFERROR(ROUND(H53*I53,0),0)</f>
        <v/>
      </c>
      <c r="L53" s="26">
        <f>IFERROR(VLOOKUP(B53,RemitTable2,10,FALSE),0)</f>
        <v/>
      </c>
      <c r="M53" s="26">
        <f>IFERROR(VLOOKUP(B53,RemitTable2,11,FALSE),0)</f>
        <v/>
      </c>
      <c r="N53" s="20" t="inlineStr">
        <is>
          <t>TMS-1000 License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2026-03</t>
        </is>
      </c>
      <c r="AE53" s="184" t="inlineStr">
        <is>
          <t>2026-03-01</t>
        </is>
      </c>
      <c r="AF53" s="183" t="inlineStr">
        <is>
          <t>2027-02-28</t>
        </is>
      </c>
    </row>
    <row r="54" ht="15.75" customHeight="1">
      <c r="A54" s="20" t="n">
        <v>44</v>
      </c>
      <c r="B54" s="20" t="inlineStr">
        <is>
          <t>GPO471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라이센스</t>
        </is>
      </c>
      <c r="F54" s="183" t="n">
        <v>46088</v>
      </c>
      <c r="G54" s="184" t="n">
        <v>46113</v>
      </c>
      <c r="H54" s="24" t="n">
        <v>500</v>
      </c>
      <c r="I54" s="185">
        <f>IFERROR(VLOOKUP(B54,RemitTable2,7,FALSE),0)</f>
        <v/>
      </c>
      <c r="J54" s="26" t="n">
        <v>9919642</v>
      </c>
      <c r="K54" s="26">
        <f>IFERROR(ROUND(H54*I54,0),0)</f>
        <v/>
      </c>
      <c r="L54" s="26">
        <f>IFERROR(VLOOKUP(B54,RemitTable2,10,FALSE),0)</f>
        <v/>
      </c>
      <c r="M54" s="26">
        <f>IFERROR(VLOOKUP(B54,RemitTable2,11,FALSE),0)</f>
        <v/>
      </c>
      <c r="N54" s="20" t="inlineStr">
        <is>
          <t>Dolby Atmos License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2026-03</t>
        </is>
      </c>
      <c r="AE54" s="184" t="inlineStr">
        <is>
          <t>-</t>
        </is>
      </c>
      <c r="AF54" s="183" t="inlineStr">
        <is>
          <t>-</t>
        </is>
      </c>
    </row>
    <row r="55" ht="15.75" customHeight="1">
      <c r="A55" s="20" t="n">
        <v>45</v>
      </c>
      <c r="B55" s="20" t="inlineStr">
        <is>
          <t>CPO694</t>
        </is>
      </c>
      <c r="C55" s="21" t="inlineStr">
        <is>
          <t>Christie</t>
        </is>
      </c>
      <c r="D55" s="20" t="inlineStr">
        <is>
          <t>Net 45 days</t>
        </is>
      </c>
      <c r="E55" s="21" t="inlineStr">
        <is>
          <t>워런티(EW)</t>
        </is>
      </c>
      <c r="F55" s="183" t="n">
        <v>46109</v>
      </c>
      <c r="G55" s="184" t="n">
        <v>46146</v>
      </c>
      <c r="H55" s="24" t="n">
        <v>17404</v>
      </c>
      <c r="I55" s="185">
        <f>IFERROR(VLOOKUP(B55,RemitTable2,7,FALSE),0)</f>
        <v/>
      </c>
      <c r="J55" s="26" t="n">
        <v>0</v>
      </c>
      <c r="K55" s="26">
        <f>IFERROR(ROUND(H55*I55,0),0)</f>
        <v/>
      </c>
      <c r="L55" s="26">
        <f>IFERROR(VLOOKUP(B55,RemitTable2,10,FALSE),0)</f>
        <v/>
      </c>
      <c r="M55" s="26">
        <f>IFERROR(VLOOKUP(B55,RemitTable2,11,FALSE),0)</f>
        <v/>
      </c>
      <c r="N55" s="20" t="inlineStr">
        <is>
          <t>EW (CGV 동백 외)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2026-04</t>
        </is>
      </c>
      <c r="AE55" s="184" t="inlineStr">
        <is>
          <t>2026-04-01</t>
        </is>
      </c>
      <c r="AF55" s="183" t="inlineStr">
        <is>
          <t>2027-03-31</t>
        </is>
      </c>
    </row>
    <row r="56" ht="15.75" customHeight="1">
      <c r="A56" s="85" t="n">
        <v>46</v>
      </c>
      <c r="B56" s="85" t="inlineStr">
        <is>
          <t>CPO697</t>
        </is>
      </c>
      <c r="C56" s="85" t="inlineStr">
        <is>
          <t>Christie</t>
        </is>
      </c>
      <c r="D56" s="85" t="inlineStr">
        <is>
          <t>Net 45 days</t>
        </is>
      </c>
      <c r="E56" s="85" t="inlineStr">
        <is>
          <t>워런티(EW)</t>
        </is>
      </c>
      <c r="F56" s="186" t="n">
        <v>46136</v>
      </c>
      <c r="G56" s="186" t="inlineStr">
        <is>
          <t>-</t>
        </is>
      </c>
      <c r="H56" s="87" t="n">
        <v>15289</v>
      </c>
      <c r="I56" s="187">
        <f>IFERROR(VLOOKUP(B56,RemitTable2,7,FALSE),0)</f>
        <v/>
      </c>
      <c r="J56" s="89" t="n">
        <v>0</v>
      </c>
      <c r="K56" s="89">
        <f>IFERROR(ROUND(H56*I56,0),0)</f>
        <v/>
      </c>
      <c r="L56" s="89">
        <f>IFERROR(VLOOKUP(B56,RemitTable2,10,FALSE),0)</f>
        <v/>
      </c>
      <c r="M56" s="89">
        <f>IFERROR(VLOOKUP(B56,RemitTable2,11,FALSE),0)</f>
        <v/>
      </c>
      <c r="N56" s="85" t="inlineStr">
        <is>
          <t>EW CP4425/CP2308/CP2315/CP2309/CP2320 13대 (메가박스 북대구 외)</t>
        </is>
      </c>
      <c r="O56" s="186" t="inlineStr">
        <is>
          <t>-</t>
        </is>
      </c>
      <c r="P56" s="85" t="inlineStr">
        <is>
          <t>-</t>
        </is>
      </c>
      <c r="Q56" s="87">
        <f>IF(P56="","",IFERROR(VLOOKUP(O56,FxRateTable,4,TRUE),""))</f>
        <v/>
      </c>
      <c r="R56" s="87">
        <f>IF(P56="","",H56)</f>
        <v/>
      </c>
      <c r="S56" s="89" t="n">
        <v>0</v>
      </c>
      <c r="T56" s="89" t="n">
        <v>0</v>
      </c>
      <c r="U56" s="186" t="n"/>
      <c r="V56" s="85" t="inlineStr">
        <is>
          <t>-</t>
        </is>
      </c>
      <c r="W56" s="89" t="n">
        <v>0</v>
      </c>
      <c r="X56" s="85" t="inlineStr">
        <is>
          <t>-</t>
        </is>
      </c>
      <c r="Y56" s="89" t="n">
        <v>0</v>
      </c>
      <c r="Z56" s="89">
        <f>S56+T56+W56</f>
        <v/>
      </c>
      <c r="AA56" s="89">
        <f>K56+L56+M56+IFERROR(VLOOKUP(B56,RemitTable2,9,FALSE),0)+Y56+Z56</f>
        <v/>
      </c>
      <c r="AB56" s="90" t="n">
        <v>1</v>
      </c>
      <c r="AC56" s="89">
        <f>ROUND(AA56/AB56,0)</f>
        <v/>
      </c>
      <c r="AD56" s="85" t="inlineStr">
        <is>
          <t>2026-04</t>
        </is>
      </c>
      <c r="AE56" s="186" t="n"/>
      <c r="AF56" s="186" t="n"/>
    </row>
    <row r="57" ht="15.75" customHeight="1">
      <c r="A57" s="85" t="n">
        <v>47</v>
      </c>
      <c r="B57" s="85" t="inlineStr">
        <is>
          <t>CPO693-2</t>
        </is>
      </c>
      <c r="C57" s="85" t="inlineStr">
        <is>
          <t>Christie</t>
        </is>
      </c>
      <c r="D57" s="85" t="inlineStr">
        <is>
          <t>Net 45 days</t>
        </is>
      </c>
      <c r="E57" s="85" t="inlineStr">
        <is>
          <t>워런티(EW)</t>
        </is>
      </c>
      <c r="F57" s="186" t="n">
        <v>46133</v>
      </c>
      <c r="G57" s="186" t="inlineStr">
        <is>
          <t>-</t>
        </is>
      </c>
      <c r="H57" s="87" t="n">
        <v>2550</v>
      </c>
      <c r="I57" s="187">
        <f>IFERROR(VLOOKUP(B57,RemitTable2,7,FALSE),0)</f>
        <v/>
      </c>
      <c r="J57" s="89" t="n">
        <v>0</v>
      </c>
      <c r="K57" s="89">
        <f>IFERROR(ROUND(H57*I57,0),0)</f>
        <v/>
      </c>
      <c r="L57" s="89">
        <f>IFERROR(VLOOKUP(B57,RemitTable2,10,FALSE),0)</f>
        <v/>
      </c>
      <c r="M57" s="89">
        <f>IFERROR(VLOOKUP(B57,RemitTable2,11,FALSE),0)</f>
        <v/>
      </c>
      <c r="N57" s="85" t="inlineStr">
        <is>
          <t>CP4420-RGB 2년 워런티 (CGV 구미)</t>
        </is>
      </c>
      <c r="O57" s="186" t="inlineStr">
        <is>
          <t>-</t>
        </is>
      </c>
      <c r="P57" s="85" t="inlineStr">
        <is>
          <t>-</t>
        </is>
      </c>
      <c r="Q57" s="87">
        <f>IF(P57="","",IFERROR(VLOOKUP(O57,FxRateTable,4,TRUE),""))</f>
        <v/>
      </c>
      <c r="R57" s="87">
        <f>IF(P57="","",H57)</f>
        <v/>
      </c>
      <c r="S57" s="89" t="n">
        <v>0</v>
      </c>
      <c r="T57" s="89" t="n">
        <v>0</v>
      </c>
      <c r="U57" s="186" t="n"/>
      <c r="V57" s="85" t="inlineStr">
        <is>
          <t>-</t>
        </is>
      </c>
      <c r="W57" s="89" t="n">
        <v>0</v>
      </c>
      <c r="X57" s="85" t="inlineStr">
        <is>
          <t>-</t>
        </is>
      </c>
      <c r="Y57" s="89" t="n">
        <v>0</v>
      </c>
      <c r="Z57" s="89">
        <f>S57+T57+W57</f>
        <v/>
      </c>
      <c r="AA57" s="89">
        <f>K57+L57+M57+IFERROR(VLOOKUP(B57,RemitTable2,9,FALSE),0)+Y57+Z57</f>
        <v/>
      </c>
      <c r="AB57" s="90" t="n">
        <v>1</v>
      </c>
      <c r="AC57" s="89">
        <f>ROUND(AA57/AB57,0)</f>
        <v/>
      </c>
      <c r="AD57" s="85" t="inlineStr">
        <is>
          <t>2026-04</t>
        </is>
      </c>
      <c r="AE57" s="186" t="n"/>
      <c r="AF57" s="186" t="n"/>
    </row>
    <row r="58" ht="15.75" customHeight="1">
      <c r="A58" s="132" t="n">
        <v>54</v>
      </c>
      <c r="B58" s="132" t="inlineStr">
        <is>
          <t>GPO478</t>
        </is>
      </c>
      <c r="C58" s="132" t="inlineStr">
        <is>
          <t>GDC</t>
        </is>
      </c>
      <c r="D58" s="132" t="inlineStr">
        <is>
          <t>Net 30 days</t>
        </is>
      </c>
      <c r="E58" s="132" t="inlineStr">
        <is>
          <t>라이센스</t>
        </is>
      </c>
      <c r="F58" s="188" t="n">
        <v>46127</v>
      </c>
      <c r="G58" s="132" t="inlineStr">
        <is>
          <t>-</t>
        </is>
      </c>
      <c r="H58" s="134" t="n">
        <v>180</v>
      </c>
      <c r="I58" s="134">
        <f>IFERROR(VLOOKUP(B58,RemitTable2,7,FALSE),0)</f>
        <v/>
      </c>
      <c r="J58" s="136" t="n">
        <v>0</v>
      </c>
      <c r="K58" s="136">
        <f>IFERROR(ROUND(H58*I58,0),0)</f>
        <v/>
      </c>
      <c r="L58" s="136">
        <f>IFERROR(VLOOKUP(B58,RemitTable2,10,FALSE),0)</f>
        <v/>
      </c>
      <c r="M58" s="136">
        <f>IFERROR(VLOOKUP(B58,RemitTable2,11,FALSE),0)</f>
        <v/>
      </c>
      <c r="N58" s="137" t="n"/>
      <c r="O58" s="137" t="n"/>
      <c r="P58" s="137" t="n"/>
      <c r="Q58" s="134">
        <f>IF(P58="","",IFERROR(VLOOKUP(O58,FxRateTable,4,TRUE),""))</f>
        <v/>
      </c>
      <c r="R58" s="134">
        <f>IF(P58="","",H58)</f>
        <v/>
      </c>
      <c r="S58" s="136" t="n">
        <v>0</v>
      </c>
      <c r="T58" s="136" t="n">
        <v>0</v>
      </c>
      <c r="U58" s="137" t="n"/>
      <c r="V58" s="137" t="n"/>
      <c r="W58" s="136" t="n">
        <v>0</v>
      </c>
      <c r="X58" s="132" t="inlineStr">
        <is>
          <t>-</t>
        </is>
      </c>
      <c r="Y58" s="136" t="n">
        <v>0</v>
      </c>
      <c r="Z58" s="136">
        <f>S58+T58+W58</f>
        <v/>
      </c>
      <c r="AA58" s="136">
        <f>K58+L58+M58+IFERROR(VLOOKUP(B58,RemitTable2,9,FALSE),0)+Y58+Z58</f>
        <v/>
      </c>
      <c r="AB58" s="168" t="n">
        <v>2</v>
      </c>
      <c r="AC58" s="136">
        <f>ROUND(AA58/AB58,0)</f>
        <v/>
      </c>
      <c r="AD58" s="137" t="n"/>
      <c r="AE58" s="189" t="n">
        <v>46143</v>
      </c>
      <c r="AF58" s="189" t="n">
        <v>46507</v>
      </c>
    </row>
    <row r="59">
      <c r="A59" s="132" t="n">
        <v>55</v>
      </c>
      <c r="B59" s="132" t="inlineStr">
        <is>
          <t>GPO480</t>
        </is>
      </c>
      <c r="C59" s="132" t="inlineStr">
        <is>
          <t>GDC</t>
        </is>
      </c>
      <c r="D59" s="132" t="inlineStr">
        <is>
          <t>Net 30 days</t>
        </is>
      </c>
      <c r="E59" s="132" t="inlineStr">
        <is>
          <t>라이센스</t>
        </is>
      </c>
      <c r="F59" s="188" t="n">
        <v>46137</v>
      </c>
      <c r="G59" s="132" t="inlineStr">
        <is>
          <t>-</t>
        </is>
      </c>
      <c r="H59" s="134" t="n">
        <v>250</v>
      </c>
      <c r="I59" s="134">
        <f>IFERROR(VLOOKUP(B59,RemitTable2,7,FALSE),0)</f>
        <v/>
      </c>
      <c r="J59" s="136" t="n">
        <v>0</v>
      </c>
      <c r="K59" s="136">
        <f>IFERROR(ROUND(H59*I59,0),0)</f>
        <v/>
      </c>
      <c r="L59" s="136">
        <f>IFERROR(VLOOKUP(B59,RemitTable2,10,FALSE),0)</f>
        <v/>
      </c>
      <c r="M59" s="136">
        <f>IFERROR(VLOOKUP(B59,RemitTable2,11,FALSE),0)</f>
        <v/>
      </c>
      <c r="N59" s="137" t="n"/>
      <c r="O59" s="137" t="n"/>
      <c r="P59" s="137" t="n"/>
      <c r="Q59" s="134">
        <f>IF(P59="","",IFERROR(VLOOKUP(O59,FxRateTable,4,TRUE),""))</f>
        <v/>
      </c>
      <c r="R59" s="134">
        <f>IF(P59="","",H59)</f>
        <v/>
      </c>
      <c r="S59" s="136" t="n">
        <v>0</v>
      </c>
      <c r="T59" s="136" t="n">
        <v>0</v>
      </c>
      <c r="U59" s="137" t="n"/>
      <c r="V59" s="137" t="n"/>
      <c r="W59" s="136" t="n">
        <v>0</v>
      </c>
      <c r="X59" s="132" t="inlineStr">
        <is>
          <t>-</t>
        </is>
      </c>
      <c r="Y59" s="136" t="n">
        <v>0</v>
      </c>
      <c r="Z59" s="136">
        <f>S59+T59+W59</f>
        <v/>
      </c>
      <c r="AA59" s="136">
        <f>K59+L59+M59+IFERROR(VLOOKUP(B59,RemitTable2,9,FALSE),0)+Y59+Z59</f>
        <v/>
      </c>
      <c r="AB59" s="168" t="n">
        <v>1</v>
      </c>
      <c r="AC59" s="136">
        <f>ROUND(AA59/AB59,0)</f>
        <v/>
      </c>
      <c r="AD59" s="137" t="n"/>
      <c r="AE59" s="137" t="n"/>
      <c r="AF59" s="137" t="n"/>
    </row>
    <row r="60">
      <c r="A60" s="132" t="n">
        <v>56</v>
      </c>
      <c r="B60" s="132" t="inlineStr">
        <is>
          <t>GPO481</t>
        </is>
      </c>
      <c r="C60" s="132" t="inlineStr">
        <is>
          <t>GDC</t>
        </is>
      </c>
      <c r="D60" s="132" t="inlineStr">
        <is>
          <t>Net 30 days</t>
        </is>
      </c>
      <c r="E60" s="132" t="inlineStr">
        <is>
          <t>라이센스</t>
        </is>
      </c>
      <c r="F60" s="188" t="n">
        <v>46152</v>
      </c>
      <c r="G60" s="233" t="n">
        <v>46183</v>
      </c>
      <c r="H60" s="134" t="n">
        <v>500</v>
      </c>
      <c r="I60" s="134">
        <f>IFERROR(VLOOKUP(B60,RemitTable2,7,FALSE),0)</f>
        <v/>
      </c>
      <c r="J60" s="136" t="n">
        <v>0</v>
      </c>
      <c r="K60" s="136">
        <f>IFERROR(ROUND(H60*I60,0),0)</f>
        <v/>
      </c>
      <c r="L60" s="136">
        <f>IFERROR(VLOOKUP(B60,RemitTable2,10,FALSE),0)</f>
        <v/>
      </c>
      <c r="M60" s="136">
        <f>IFERROR(VLOOKUP(B60,RemitTable2,11,FALSE),0)</f>
        <v/>
      </c>
      <c r="N60" s="137" t="n"/>
      <c r="O60" s="137" t="n"/>
      <c r="P60" s="137" t="n"/>
      <c r="Q60" s="134">
        <f>IF(P60="","",IFERROR(VLOOKUP(O60,FxRateTable,4,TRUE),""))</f>
        <v/>
      </c>
      <c r="R60" s="134">
        <f>IF(P60="","",H60)</f>
        <v/>
      </c>
      <c r="S60" s="136" t="n">
        <v>0</v>
      </c>
      <c r="T60" s="136" t="n">
        <v>0</v>
      </c>
      <c r="U60" s="137" t="n"/>
      <c r="V60" s="137" t="n"/>
      <c r="W60" s="136" t="n">
        <v>0</v>
      </c>
      <c r="X60" s="132" t="inlineStr">
        <is>
          <t>-</t>
        </is>
      </c>
      <c r="Y60" s="136" t="n">
        <v>0</v>
      </c>
      <c r="Z60" s="136">
        <f>S60+T60+W60</f>
        <v/>
      </c>
      <c r="AA60" s="136">
        <f>K60+L60+M60+IFERROR(VLOOKUP(B60,RemitTable2,9,FALSE),0)+Y60+Z60</f>
        <v/>
      </c>
      <c r="AB60" s="168" t="n">
        <v>1</v>
      </c>
      <c r="AC60" s="136">
        <f>ROUND(AA60/AB60,0)</f>
        <v/>
      </c>
      <c r="AD60" s="137" t="inlineStr">
        <is>
          <t>2026-06</t>
        </is>
      </c>
      <c r="AE60" s="137" t="n"/>
      <c r="AF60" s="137" t="n"/>
    </row>
    <row r="61">
      <c r="A61" s="12" t="n">
        <v>48</v>
      </c>
      <c r="B61" s="12" t="inlineStr">
        <is>
          <t>CPO688</t>
        </is>
      </c>
      <c r="C61" s="13" t="inlineStr">
        <is>
          <t>Christie</t>
        </is>
      </c>
      <c r="D61" s="12" t="inlineStr">
        <is>
          <t>Net 45 days</t>
        </is>
      </c>
      <c r="E61" s="13" t="inlineStr">
        <is>
          <t>Inspection</t>
        </is>
      </c>
      <c r="F61" s="176" t="n">
        <v>46037</v>
      </c>
      <c r="G61" s="177" t="inlineStr">
        <is>
          <t>-</t>
        </is>
      </c>
      <c r="H61" s="16" t="n">
        <v>4180</v>
      </c>
      <c r="I61" s="178">
        <f>IFERROR(VLOOKUP(B61,RemitTable2,7,FALSE),0)</f>
        <v/>
      </c>
      <c r="J61" s="18" t="n">
        <v>0</v>
      </c>
      <c r="K61" s="18">
        <f>IFERROR(ROUND(H61*I61,0),0)</f>
        <v/>
      </c>
      <c r="L61" s="18">
        <f>IFERROR(VLOOKUP(B61,RemitTable2,10,FALSE),0)</f>
        <v/>
      </c>
      <c r="M61" s="18">
        <f>IFERROR(VLOOKUP(B61,RemitTable2,11,FALSE),0)</f>
        <v/>
      </c>
      <c r="N61" s="12" t="inlineStr">
        <is>
          <t>Inspection fee</t>
        </is>
      </c>
      <c r="O61" s="12" t="inlineStr">
        <is>
          <t>-</t>
        </is>
      </c>
      <c r="P61" s="12" t="inlineStr">
        <is>
          <t>-</t>
        </is>
      </c>
      <c r="Q61" s="16">
        <f>IF(P61="","",IFERROR(VLOOKUP(O61,FxRateTable,4,TRUE),""))</f>
        <v/>
      </c>
      <c r="R61" s="18">
        <f>IF(P61="","",H61)</f>
        <v/>
      </c>
      <c r="S61" s="18" t="n">
        <v>0</v>
      </c>
      <c r="T61" s="18" t="n">
        <v>0</v>
      </c>
      <c r="U61" s="13" t="n">
        <v>0</v>
      </c>
      <c r="V61" s="12" t="inlineStr">
        <is>
          <t>-</t>
        </is>
      </c>
      <c r="W61" s="18" t="n">
        <v>0</v>
      </c>
      <c r="X61" s="13" t="inlineStr">
        <is>
          <t>-</t>
        </is>
      </c>
      <c r="Y61" s="18" t="n">
        <v>0</v>
      </c>
      <c r="Z61" s="18">
        <f>S61+T61+W61</f>
        <v/>
      </c>
      <c r="AA61" s="18">
        <f>K61+L61+M61+IFERROR(VLOOKUP(B61,RemitTable2,9,FALSE),0)+Y61+Z61</f>
        <v/>
      </c>
      <c r="AB61" s="19" t="n">
        <v>1</v>
      </c>
      <c r="AC61" s="18">
        <f>ROUND(AA61/AB61,0)</f>
        <v/>
      </c>
      <c r="AD61" s="12" t="inlineStr">
        <is>
          <t>2026-01</t>
        </is>
      </c>
      <c r="AE61" s="177" t="inlineStr">
        <is>
          <t>-</t>
        </is>
      </c>
      <c r="AF61" s="176" t="inlineStr">
        <is>
          <t>-</t>
        </is>
      </c>
    </row>
    <row r="62">
      <c r="A62" s="12" t="n">
        <v>49</v>
      </c>
      <c r="B62" s="12" t="inlineStr">
        <is>
          <t>SX3000수리</t>
        </is>
      </c>
      <c r="C62" s="13" t="inlineStr">
        <is>
          <t>GDC</t>
        </is>
      </c>
      <c r="D62" s="12" t="inlineStr">
        <is>
          <t>-</t>
        </is>
      </c>
      <c r="E62" s="13" t="inlineStr">
        <is>
          <t>수리반환</t>
        </is>
      </c>
      <c r="F62" s="176" t="n"/>
      <c r="G62" s="177" t="n"/>
      <c r="H62" s="16" t="n">
        <v>400</v>
      </c>
      <c r="I62" s="178">
        <f>IFERROR(VLOOKUP(B62,RemitTable2,7,FALSE),0)</f>
        <v/>
      </c>
      <c r="J62" s="18" t="n">
        <v>0</v>
      </c>
      <c r="K62" s="18">
        <f>IFERROR(ROUND(H62*I62,0),0)</f>
        <v/>
      </c>
      <c r="L62" s="18">
        <f>IFERROR(VLOOKUP(B62,RemitTable2,10,FALSE),0)</f>
        <v/>
      </c>
      <c r="M62" s="18">
        <f>IFERROR(VLOOKUP(B62,RemitTable2,11,FALSE),0)</f>
        <v/>
      </c>
      <c r="N62" s="12" t="inlineStr">
        <is>
          <t>Display Card (수리반환 5PCS)</t>
        </is>
      </c>
      <c r="O62" s="177" t="n">
        <v>46125</v>
      </c>
      <c r="P62" s="12" t="inlineStr">
        <is>
          <t>22356-26-351613M</t>
        </is>
      </c>
      <c r="Q62" s="16">
        <f>IF(P62="","",IFERROR(VLOOKUP(O62,FxRateTable,4,TRUE),""))</f>
        <v/>
      </c>
      <c r="R62" s="18">
        <f>IF(P62="","",H62)</f>
        <v/>
      </c>
      <c r="S62" s="18" t="n">
        <v>0</v>
      </c>
      <c r="T62" s="18" t="n">
        <v>67750</v>
      </c>
      <c r="U62" s="13" t="n"/>
      <c r="V62" s="12" t="inlineStr">
        <is>
          <t>운서합동</t>
        </is>
      </c>
      <c r="W62" s="18" t="n">
        <v>0</v>
      </c>
      <c r="X62" s="13" t="inlineStr">
        <is>
          <t>DHL</t>
        </is>
      </c>
      <c r="Y62" s="18" t="n">
        <v>0</v>
      </c>
      <c r="Z62" s="18">
        <f>S62+T62+W62</f>
        <v/>
      </c>
      <c r="AA62" s="18">
        <f>K62+L62+M62+IFERROR(VLOOKUP(B62,RemitTable2,9,FALSE),0)+Y62+Z62</f>
        <v/>
      </c>
      <c r="AB62" s="19" t="n">
        <v>5</v>
      </c>
      <c r="AC62" s="18">
        <f>ROUND(AA62/AB62,0)</f>
        <v/>
      </c>
      <c r="AD62" s="12" t="inlineStr">
        <is>
          <t>2026-04</t>
        </is>
      </c>
      <c r="AE62" s="177" t="n"/>
      <c r="AF62" s="176" t="n"/>
    </row>
    <row r="63">
      <c r="A63" s="216" t="n">
        <v>59</v>
      </c>
      <c r="B63" s="216" t="inlineStr">
        <is>
          <t>FRC-MONOPLEX26</t>
        </is>
      </c>
      <c r="C63" s="217" t="inlineStr">
        <is>
          <t>Ferco</t>
        </is>
      </c>
      <c r="D63" s="216" t="inlineStr">
        <is>
          <t>50% TT advance + 50% balance</t>
        </is>
      </c>
      <c r="E63" s="217" t="inlineStr">
        <is>
          <t>기타</t>
        </is>
      </c>
      <c r="F63" s="218" t="n">
        <v>46048</v>
      </c>
      <c r="G63" s="219" t="n">
        <v>46133</v>
      </c>
      <c r="H63" s="220" t="n">
        <v>51952</v>
      </c>
      <c r="I63" s="221">
        <f>IFERROR(VLOOKUP(B63,RemitTable2,7,FALSE),0)</f>
        <v/>
      </c>
      <c r="J63" s="222" t="n">
        <v>0</v>
      </c>
      <c r="K63" s="222">
        <f>IFERROR(ROUND(H63*I63,0),0)</f>
        <v/>
      </c>
      <c r="L63" s="222">
        <f>IFERROR(VLOOKUP(B63,RemitTable2,10,FALSE),0)</f>
        <v/>
      </c>
      <c r="M63" s="222">
        <f>IFERROR(VLOOKUP(B63,RemitTable2,11,FALSE),0)</f>
        <v/>
      </c>
      <c r="N63" s="216" t="inlineStr">
        <is>
          <t>Cinema Seat (Recliner) / 44 EA / Monoplex DH Bangbae</t>
        </is>
      </c>
      <c r="O63" s="219" t="n">
        <v>46153</v>
      </c>
      <c r="P63" s="216" t="inlineStr">
        <is>
          <t>14008-26-101147M</t>
        </is>
      </c>
      <c r="Q63" s="220">
        <f>IF(P63="","",IFERROR(VLOOKUP(O63,FxRateTable,4,TRUE),""))</f>
        <v/>
      </c>
      <c r="R63" s="220">
        <f>IF(P63="","",H63)</f>
        <v/>
      </c>
      <c r="S63" s="222" t="n">
        <v>31050</v>
      </c>
      <c r="T63" s="222" t="n">
        <v>7959560</v>
      </c>
      <c r="U63" s="218" t="n"/>
      <c r="V63" s="216" t="inlineStr">
        <is>
          <t>조운관세사무소</t>
        </is>
      </c>
      <c r="W63" s="222" t="n">
        <v>250000</v>
      </c>
      <c r="X63" s="217" t="inlineStr">
        <is>
          <t>진로직스</t>
        </is>
      </c>
      <c r="Y63" s="222" t="n">
        <v>5002612</v>
      </c>
      <c r="Z63" s="222">
        <f>S63+T63+W63</f>
        <v/>
      </c>
      <c r="AA63" s="222">
        <f>K63+L63+M63+IFERROR(VLOOKUP(B63,RemitTable2,9,FALSE),0)+Y63+Z63</f>
        <v/>
      </c>
      <c r="AB63" s="223" t="n">
        <v>44</v>
      </c>
      <c r="AC63" s="222">
        <f>ROUND(AA63/AB63,0)</f>
        <v/>
      </c>
      <c r="AD63" s="216" t="inlineStr">
        <is>
          <t>2026-05</t>
        </is>
      </c>
      <c r="AE63" s="216" t="n"/>
      <c r="AF63" s="217" t="n"/>
    </row>
    <row r="64">
      <c r="A64" s="147" t="inlineStr">
        <is>
          <t>장비/부품 합계</t>
        </is>
      </c>
      <c r="B64" s="148" t="n"/>
      <c r="C64" s="148" t="n"/>
      <c r="D64" s="148" t="n"/>
      <c r="E64" s="148" t="n"/>
      <c r="F64" s="148" t="n"/>
      <c r="G64" s="149" t="n"/>
      <c r="H64" s="142">
        <f>SUBTOTAL(9,H5:H38)</f>
        <v/>
      </c>
      <c r="I64" s="141" t="n"/>
      <c r="J64" s="142">
        <f>SUBTOTAL(9,J5:J38)</f>
        <v/>
      </c>
      <c r="K64" s="142">
        <f>SUBTOTAL(9,K5:K38)</f>
        <v/>
      </c>
      <c r="L64" s="142">
        <f>SUBTOTAL(9,L5:L38)</f>
        <v/>
      </c>
      <c r="M64" s="142">
        <f>SUBTOTAL(9,M5:M38)</f>
        <v/>
      </c>
      <c r="N64" s="141" t="n"/>
      <c r="O64" s="141" t="n"/>
      <c r="P64" s="141" t="n"/>
      <c r="Q64" s="142" t="n"/>
      <c r="R64" s="140" t="n"/>
      <c r="S64" s="142">
        <f>SUBTOTAL(9,S5:S38)</f>
        <v/>
      </c>
      <c r="T64" s="142">
        <f>SUBTOTAL(9,T5:T38)</f>
        <v/>
      </c>
      <c r="U64" s="141" t="n"/>
      <c r="V64" s="141" t="n"/>
      <c r="W64" s="142">
        <f>SUBTOTAL(9,W5:W38)</f>
        <v/>
      </c>
      <c r="X64" s="147" t="n"/>
      <c r="Y64" s="142">
        <f>SUBTOTAL(9,Y5:Y38)</f>
        <v/>
      </c>
      <c r="Z64" s="142">
        <f>SUBTOTAL(9,Z5:Z38)</f>
        <v/>
      </c>
      <c r="AA64" s="142">
        <f>SUBTOTAL(9,AA5:AA38)</f>
        <v/>
      </c>
      <c r="AB64" s="147" t="n"/>
      <c r="AC64" s="141" t="n"/>
      <c r="AD64" s="141" t="n"/>
      <c r="AE64" s="141" t="n"/>
      <c r="AF64" s="141" t="n"/>
    </row>
    <row r="65">
      <c r="A65" s="147" t="inlineStr">
        <is>
          <t>라이센스/워런티 합계</t>
        </is>
      </c>
      <c r="B65" s="148" t="n"/>
      <c r="C65" s="148" t="n"/>
      <c r="D65" s="148" t="n"/>
      <c r="E65" s="148" t="n"/>
      <c r="F65" s="148" t="n"/>
      <c r="G65" s="149" t="n"/>
      <c r="H65" s="142">
        <f>SUBTOTAL(9,H39:H60)</f>
        <v/>
      </c>
      <c r="I65" s="141" t="n"/>
      <c r="J65" s="142">
        <f>SUBTOTAL(9,J39:J60)</f>
        <v/>
      </c>
      <c r="K65" s="142">
        <f>SUBTOTAL(9,K39:K60)</f>
        <v/>
      </c>
      <c r="L65" s="142">
        <f>SUBTOTAL(9,L39:L60)</f>
        <v/>
      </c>
      <c r="M65" s="142">
        <f>SUBTOTAL(9,M39:M60)</f>
        <v/>
      </c>
      <c r="N65" s="141" t="n"/>
      <c r="O65" s="141" t="n"/>
      <c r="P65" s="141" t="n"/>
      <c r="Q65" s="142" t="n"/>
      <c r="R65" s="140" t="n"/>
      <c r="S65" s="142">
        <f>SUBTOTAL(9,S39:S60)</f>
        <v/>
      </c>
      <c r="T65" s="142">
        <f>SUBTOTAL(9,T39:T60)</f>
        <v/>
      </c>
      <c r="U65" s="141" t="n"/>
      <c r="V65" s="141" t="n"/>
      <c r="W65" s="142">
        <f>SUBTOTAL(9,W39:W60)</f>
        <v/>
      </c>
      <c r="X65" s="147" t="n"/>
      <c r="Y65" s="142">
        <f>SUBTOTAL(9,Y39:Y60)</f>
        <v/>
      </c>
      <c r="Z65" s="142">
        <f>SUBTOTAL(9,Z39:Z60)</f>
        <v/>
      </c>
      <c r="AA65" s="142">
        <f>SUBTOTAL(9,AA39:AA60)</f>
        <v/>
      </c>
      <c r="AB65" s="147" t="n"/>
      <c r="AC65" s="141" t="n"/>
      <c r="AD65" s="141" t="n"/>
      <c r="AE65" s="141" t="n"/>
      <c r="AF65" s="141" t="n"/>
    </row>
    <row r="66">
      <c r="A66" s="147" t="inlineStr">
        <is>
          <t>기타 합계</t>
        </is>
      </c>
      <c r="B66" s="148" t="n"/>
      <c r="C66" s="148" t="n"/>
      <c r="D66" s="148" t="n"/>
      <c r="E66" s="148" t="n"/>
      <c r="F66" s="148" t="n"/>
      <c r="G66" s="149" t="n"/>
      <c r="H66" s="142">
        <f>SUBTOTAL(9,H61:H63)</f>
        <v/>
      </c>
      <c r="I66" s="141" t="n"/>
      <c r="J66" s="142">
        <f>SUBTOTAL(9,J61:J63)</f>
        <v/>
      </c>
      <c r="K66" s="142">
        <f>SUBTOTAL(9,K61:K63)</f>
        <v/>
      </c>
      <c r="L66" s="142">
        <f>SUBTOTAL(9,L61:L63)</f>
        <v/>
      </c>
      <c r="M66" s="142">
        <f>SUBTOTAL(9,M61:M63)</f>
        <v/>
      </c>
      <c r="N66" s="141" t="n"/>
      <c r="O66" s="141" t="n"/>
      <c r="P66" s="141" t="n"/>
      <c r="Q66" s="142" t="n"/>
      <c r="R66" s="140" t="n"/>
      <c r="S66" s="142">
        <f>SUBTOTAL(9,S61:S63)</f>
        <v/>
      </c>
      <c r="T66" s="142">
        <f>SUBTOTAL(9,T61:T63)</f>
        <v/>
      </c>
      <c r="U66" s="141" t="n"/>
      <c r="V66" s="141" t="n"/>
      <c r="W66" s="142">
        <f>SUBTOTAL(9,W61:W63)</f>
        <v/>
      </c>
      <c r="X66" s="147" t="n"/>
      <c r="Y66" s="142">
        <f>SUBTOTAL(9,Y61:Y63)</f>
        <v/>
      </c>
      <c r="Z66" s="142">
        <f>SUBTOTAL(9,Z61:Z63)</f>
        <v/>
      </c>
      <c r="AA66" s="142">
        <f>SUBTOTAL(9,AA61:AA63)</f>
        <v/>
      </c>
      <c r="AB66" s="147" t="n"/>
      <c r="AC66" s="141" t="n"/>
      <c r="AD66" s="141" t="n"/>
      <c r="AE66" s="141" t="n"/>
      <c r="AF66" s="141" t="n"/>
    </row>
    <row r="67">
      <c r="A67" s="154" t="inlineStr">
        <is>
          <t>총 합계</t>
        </is>
      </c>
      <c r="B67" s="148" t="n"/>
      <c r="C67" s="148" t="n"/>
      <c r="D67" s="148" t="n"/>
      <c r="E67" s="148" t="n"/>
      <c r="F67" s="148" t="n"/>
      <c r="G67" s="149" t="n"/>
      <c r="H67" s="146">
        <f>SUBTOTAL(9,H5:H63)</f>
        <v/>
      </c>
      <c r="I67" s="145" t="n"/>
      <c r="J67" s="146">
        <f>SUBTOTAL(9,J5:J63)</f>
        <v/>
      </c>
      <c r="K67" s="146">
        <f>SUBTOTAL(9,K5:K63)</f>
        <v/>
      </c>
      <c r="L67" s="146">
        <f>SUBTOTAL(9,L5:L63)</f>
        <v/>
      </c>
      <c r="M67" s="146">
        <f>SUBTOTAL(9,M5:M63)</f>
        <v/>
      </c>
      <c r="N67" s="145" t="n"/>
      <c r="O67" s="145" t="n"/>
      <c r="P67" s="145" t="n"/>
      <c r="Q67" s="146" t="n"/>
      <c r="R67" s="144" t="n"/>
      <c r="S67" s="146">
        <f>SUBTOTAL(9,S5:S63)</f>
        <v/>
      </c>
      <c r="T67" s="146">
        <f>SUBTOTAL(9,T5:T63)</f>
        <v/>
      </c>
      <c r="U67" s="145" t="n"/>
      <c r="V67" s="145" t="n"/>
      <c r="W67" s="146">
        <f>SUBTOTAL(9,W5:W63)</f>
        <v/>
      </c>
      <c r="X67" s="154" t="n"/>
      <c r="Y67" s="146">
        <f>SUBTOTAL(9,Y5:Y63)</f>
        <v/>
      </c>
      <c r="Z67" s="146">
        <f>SUBTOTAL(9,Z5:Z63)</f>
        <v/>
      </c>
      <c r="AA67" s="146">
        <f>SUBTOTAL(9,AA5:AA63)</f>
        <v/>
      </c>
      <c r="AB67" s="154" t="n"/>
      <c r="AC67" s="145" t="n"/>
      <c r="AD67" s="145" t="n"/>
      <c r="AE67" s="145" t="n"/>
      <c r="AF67" s="145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75" t="n"/>
      <c r="Y68" s="39" t="n"/>
      <c r="Z68" s="39" t="n"/>
      <c r="AA68" s="39" t="n"/>
      <c r="AB68" s="75" t="n"/>
      <c r="AC68" s="39" t="n"/>
      <c r="AD68" s="39" t="n"/>
      <c r="AE68" s="39" t="n"/>
      <c r="AF68" s="39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75" t="n"/>
      <c r="Y70" s="39" t="n"/>
      <c r="Z70" s="39" t="n"/>
      <c r="AA70" s="39" t="n"/>
      <c r="AB70" s="75" t="n"/>
      <c r="AC70" s="39" t="n"/>
      <c r="AD70" s="39" t="n"/>
      <c r="AE70" s="39" t="n"/>
      <c r="AF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75" t="n"/>
      <c r="Y71" s="39" t="n"/>
      <c r="Z71" s="39" t="n"/>
      <c r="AA71" s="39" t="n"/>
      <c r="AB71" s="75" t="n"/>
      <c r="AC71" s="39" t="n"/>
      <c r="AD71" s="39" t="n"/>
      <c r="AE71" s="39" t="n"/>
      <c r="AF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75" t="n"/>
      <c r="Y72" s="39" t="n"/>
      <c r="Z72" s="39" t="n"/>
      <c r="AA72" s="39" t="n"/>
      <c r="AB72" s="75" t="n"/>
      <c r="AC72" s="39" t="n"/>
      <c r="AD72" s="39" t="n"/>
      <c r="AE72" s="39" t="n"/>
      <c r="AF72" s="39" t="n"/>
    </row>
    <row r="86">
      <c r="M86" s="40" t="n"/>
    </row>
  </sheetData>
  <mergeCells count="12">
    <mergeCell ref="A66:G66"/>
    <mergeCell ref="G3:N3"/>
    <mergeCell ref="A67:G67"/>
    <mergeCell ref="A1:AF1"/>
    <mergeCell ref="AD3:AF3"/>
    <mergeCell ref="X3:Z3"/>
    <mergeCell ref="A64:G64"/>
    <mergeCell ref="A65:G65"/>
    <mergeCell ref="A3:F3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홀딩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20" t="inlineStr">
        <is>
          <t>-</t>
        </is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inlineStr">
        <is>
          <t>-</t>
        </is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inlineStr">
        <is>
          <t>-</t>
        </is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inlineStr">
        <is>
          <t>-</t>
        </is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1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16" t="n">
        <v>33</v>
      </c>
      <c r="B35" s="116" t="inlineStr">
        <is>
          <t>2026.05.12</t>
        </is>
      </c>
      <c r="C35" s="117" t="inlineStr">
        <is>
          <t>Ferco</t>
        </is>
      </c>
      <c r="D35" s="116" t="inlineStr">
        <is>
          <t>PI44133-1</t>
        </is>
      </c>
      <c r="E35" s="118" t="n">
        <v>4416</v>
      </c>
      <c r="F35" s="197" t="n">
        <v>1755.24</v>
      </c>
      <c r="G35" s="118" t="n">
        <v>25</v>
      </c>
      <c r="H35" s="120" t="n">
        <v>10000</v>
      </c>
      <c r="I35" s="120" t="n">
        <v>8000</v>
      </c>
      <c r="J35" s="120" t="n">
        <v>7813020</v>
      </c>
      <c r="K35" s="120">
        <f>ROUND((E35+G35)*F35+H35+I35,0)</f>
        <v/>
      </c>
      <c r="L35" s="121">
        <f>J35-K35</f>
        <v/>
      </c>
    </row>
    <row r="36" ht="15.75" customHeight="1">
      <c r="A36" s="116" t="n">
        <v>34</v>
      </c>
      <c r="B36" s="116" t="inlineStr">
        <is>
          <t>2026.05.19</t>
        </is>
      </c>
      <c r="C36" s="117" t="inlineStr">
        <is>
          <t>GDC</t>
        </is>
      </c>
      <c r="D36" s="116" t="inlineStr">
        <is>
          <t>GPO478</t>
        </is>
      </c>
      <c r="E36" s="118" t="n">
        <v>180</v>
      </c>
      <c r="F36" s="197" t="n">
        <v>1518.9</v>
      </c>
      <c r="G36" s="118" t="n">
        <v>20</v>
      </c>
      <c r="H36" s="120" t="n">
        <v>2500</v>
      </c>
      <c r="I36" s="120" t="n">
        <v>8000</v>
      </c>
      <c r="J36" s="120" t="n">
        <v>314280</v>
      </c>
      <c r="K36" s="120">
        <f>ROUND((E36+G36)*F36+H36+I36,0)</f>
        <v/>
      </c>
      <c r="L36" s="121">
        <f>J36-K36</f>
        <v/>
      </c>
    </row>
    <row r="37" ht="15.75" customHeight="1">
      <c r="A37" s="116" t="n">
        <v>35</v>
      </c>
      <c r="B37" s="116" t="inlineStr">
        <is>
          <t>2026.05.20</t>
        </is>
      </c>
      <c r="C37" s="117" t="inlineStr">
        <is>
          <t>Christie</t>
        </is>
      </c>
      <c r="D37" s="116" t="inlineStr">
        <is>
          <t>CPO698</t>
        </is>
      </c>
      <c r="E37" s="118" t="n">
        <v>4290</v>
      </c>
      <c r="F37" s="197" t="n">
        <v>1510.6</v>
      </c>
      <c r="G37" s="118" t="n">
        <v>20</v>
      </c>
      <c r="H37" s="120" t="n">
        <v>7500</v>
      </c>
      <c r="I37" s="120" t="n">
        <v>8000</v>
      </c>
      <c r="J37" s="120" t="n">
        <v>6526186</v>
      </c>
      <c r="K37" s="120">
        <f>ROUND((E37+G37)*F37+H37+I37,0)</f>
        <v/>
      </c>
      <c r="L37" s="121">
        <f>J37-K37</f>
        <v/>
      </c>
    </row>
    <row r="38" ht="15.75" customHeight="1">
      <c r="A38" s="116" t="n">
        <v>36</v>
      </c>
      <c r="B38" s="116" t="inlineStr">
        <is>
          <t>2026.05.29</t>
        </is>
      </c>
      <c r="C38" s="117" t="inlineStr">
        <is>
          <t>GDC</t>
        </is>
      </c>
      <c r="D38" s="116" t="inlineStr">
        <is>
          <t>GPO480, GPO479, GPO473-1</t>
        </is>
      </c>
      <c r="E38" s="118" t="n">
        <v>99140</v>
      </c>
      <c r="F38" s="197" t="n">
        <v>1502.8</v>
      </c>
      <c r="G38" s="118" t="n">
        <v>20</v>
      </c>
      <c r="H38" s="120" t="n">
        <v>12500</v>
      </c>
      <c r="I38" s="120" t="n">
        <v>8000</v>
      </c>
      <c r="J38" s="120" t="n">
        <v>149038148</v>
      </c>
      <c r="K38" s="120">
        <f>ROUND((E38+G38)*F38+H38+I38,0)</f>
        <v/>
      </c>
      <c r="L38" s="121">
        <f>J38-K38</f>
        <v/>
      </c>
    </row>
    <row r="39" ht="15.75" customHeight="1">
      <c r="A39" s="116" t="n">
        <v>37</v>
      </c>
      <c r="B39" s="116" t="inlineStr">
        <is>
          <t>2026.05.29</t>
        </is>
      </c>
      <c r="C39" s="117" t="inlineStr">
        <is>
          <t>Christie</t>
        </is>
      </c>
      <c r="D39" s="116" t="inlineStr">
        <is>
          <t>CPO697, CPO696-1, CPO696-2</t>
        </is>
      </c>
      <c r="E39" s="118" t="n">
        <v>101638</v>
      </c>
      <c r="F39" s="197" t="n">
        <v>1502.7</v>
      </c>
      <c r="G39" s="118" t="n">
        <v>20</v>
      </c>
      <c r="H39" s="120" t="n">
        <v>12500</v>
      </c>
      <c r="I39" s="120" t="n">
        <v>8000</v>
      </c>
      <c r="J39" s="120" t="n">
        <v>152781976</v>
      </c>
      <c r="K39" s="120">
        <f>ROUND((E39+G39)*F39+H39+I39,0)</f>
        <v/>
      </c>
      <c r="L39" s="121">
        <f>J39-K39</f>
        <v/>
      </c>
    </row>
    <row r="40" ht="15.75" customHeight="1">
      <c r="A40" s="234" t="n">
        <v>38</v>
      </c>
      <c r="B40" s="234" t="inlineStr">
        <is>
          <t>2026.06.10</t>
        </is>
      </c>
      <c r="C40" s="235" t="inlineStr">
        <is>
          <t>GDC</t>
        </is>
      </c>
      <c r="D40" s="234" t="inlineStr">
        <is>
          <t>GPO481, GPO473-2, GPO473-3</t>
        </is>
      </c>
      <c r="E40" s="236" t="n">
        <v>119060</v>
      </c>
      <c r="F40" s="237" t="n">
        <v>1525.3</v>
      </c>
      <c r="G40" s="236" t="n">
        <v>20</v>
      </c>
      <c r="H40" s="238" t="n">
        <v>12500</v>
      </c>
      <c r="I40" s="238" t="n">
        <v>8000</v>
      </c>
      <c r="J40" s="238" t="n">
        <v>181653224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>
        <f>D43/E43</f>
        <v/>
      </c>
      <c r="G43" s="118">
        <f>F10</f>
        <v/>
      </c>
      <c r="H43" s="120">
        <f>ROUND(D43*G43,0)</f>
        <v/>
      </c>
      <c r="I43" s="120">
        <f>ROUND(G10*F43*G43,0)</f>
        <v/>
      </c>
      <c r="J43" s="120">
        <f>ROUND(H10*F43,0)</f>
        <v/>
      </c>
      <c r="K43" s="120">
        <f>ROUND(I10*F43,0)</f>
        <v/>
      </c>
      <c r="L43" s="121">
        <f>H43+I43+J43+K43</f>
        <v/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>
        <f>D44/E44</f>
        <v/>
      </c>
      <c r="G44" s="118">
        <f>F10</f>
        <v/>
      </c>
      <c r="H44" s="120">
        <f>ROUND(D44*G44,0)</f>
        <v/>
      </c>
      <c r="I44" s="120">
        <f>ROUND(G10*F44*G44,0)</f>
        <v/>
      </c>
      <c r="J44" s="120">
        <f>ROUND(H10*F44,0)</f>
        <v/>
      </c>
      <c r="K44" s="120">
        <f>ROUND(I10*F44,0)</f>
        <v/>
      </c>
      <c r="L44" s="121">
        <f>H44+I44+J44+K44</f>
        <v/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>
        <f>D45/E45</f>
        <v/>
      </c>
      <c r="G45" s="118">
        <f>F9</f>
        <v/>
      </c>
      <c r="H45" s="120">
        <f>ROUND(D45*G45,0)</f>
        <v/>
      </c>
      <c r="I45" s="120">
        <f>ROUND(G9*F45*G45,0)</f>
        <v/>
      </c>
      <c r="J45" s="120">
        <f>ROUND(H9*F45,0)</f>
        <v/>
      </c>
      <c r="K45" s="120">
        <f>ROUND(I9*F45,0)</f>
        <v/>
      </c>
      <c r="L45" s="121">
        <f>H45+I45+J45+K45</f>
        <v/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>
        <f>D46/E46</f>
        <v/>
      </c>
      <c r="G46" s="118">
        <f>F12</f>
        <v/>
      </c>
      <c r="H46" s="120">
        <f>ROUND(D46*G46,0)</f>
        <v/>
      </c>
      <c r="I46" s="120">
        <f>ROUND(G12*F46*G46,0)</f>
        <v/>
      </c>
      <c r="J46" s="120">
        <f>ROUND(H12*F46,0)</f>
        <v/>
      </c>
      <c r="K46" s="120">
        <f>ROUND(I12*F46,0)</f>
        <v/>
      </c>
      <c r="L46" s="121">
        <f>H46+I46+J46+K46</f>
        <v/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>
        <f>D47/E47</f>
        <v/>
      </c>
      <c r="G47" s="118">
        <f>F12</f>
        <v/>
      </c>
      <c r="H47" s="120">
        <f>ROUND(D47*G47,0)</f>
        <v/>
      </c>
      <c r="I47" s="120">
        <f>ROUND(G12*F47*G47,0)</f>
        <v/>
      </c>
      <c r="J47" s="120">
        <f>ROUND(H12*F47,0)</f>
        <v/>
      </c>
      <c r="K47" s="120">
        <f>ROUND(I12*F47,0)</f>
        <v/>
      </c>
      <c r="L47" s="121">
        <f>H47+I47+J47+K47</f>
        <v/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>
        <f>D48/E48</f>
        <v/>
      </c>
      <c r="G48" s="118">
        <f>F14</f>
        <v/>
      </c>
      <c r="H48" s="120">
        <f>ROUND(D48*G48,0)</f>
        <v/>
      </c>
      <c r="I48" s="120">
        <f>ROUND(G14*F48*G48,0)</f>
        <v/>
      </c>
      <c r="J48" s="120">
        <f>ROUND(H14*F48,0)</f>
        <v/>
      </c>
      <c r="K48" s="120">
        <f>ROUND(I14*F48,0)</f>
        <v/>
      </c>
      <c r="L48" s="121">
        <f>H48+I48+J48+K48</f>
        <v/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>
        <f>D49/E49</f>
        <v/>
      </c>
      <c r="G49" s="118">
        <f>F15</f>
        <v/>
      </c>
      <c r="H49" s="120">
        <f>ROUND(D49*G49,0)</f>
        <v/>
      </c>
      <c r="I49" s="120">
        <f>ROUND(G15*F49*G49,0)</f>
        <v/>
      </c>
      <c r="J49" s="120">
        <f>ROUND(H15*F49,0)</f>
        <v/>
      </c>
      <c r="K49" s="120">
        <f>ROUND(I15*F49,0)</f>
        <v/>
      </c>
      <c r="L49" s="121">
        <f>H49+I49+J49+K49</f>
        <v/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>
        <f>D50/E50</f>
        <v/>
      </c>
      <c r="G50" s="118">
        <f>F15</f>
        <v/>
      </c>
      <c r="H50" s="120">
        <f>ROUND(D50*G50,0)</f>
        <v/>
      </c>
      <c r="I50" s="120">
        <f>ROUND(G15*F50*G50,0)</f>
        <v/>
      </c>
      <c r="J50" s="120">
        <f>ROUND(H15*F50,0)</f>
        <v/>
      </c>
      <c r="K50" s="120">
        <f>ROUND(I15*F50,0)</f>
        <v/>
      </c>
      <c r="L50" s="121">
        <f>H50+I50+J50+K50</f>
        <v/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>
        <f>D51/E51</f>
        <v/>
      </c>
      <c r="G51" s="118">
        <f>F15</f>
        <v/>
      </c>
      <c r="H51" s="120">
        <f>ROUND(D51*G51,0)</f>
        <v/>
      </c>
      <c r="I51" s="120">
        <f>ROUND(G15*F51*G51,0)</f>
        <v/>
      </c>
      <c r="J51" s="120">
        <f>ROUND(H15*F51,0)</f>
        <v/>
      </c>
      <c r="K51" s="120">
        <f>ROUND(I15*F51,0)</f>
        <v/>
      </c>
      <c r="L51" s="121">
        <f>H51+I51+J51+K51</f>
        <v/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>
        <f>D52/E52</f>
        <v/>
      </c>
      <c r="G52" s="118">
        <f>F16</f>
        <v/>
      </c>
      <c r="H52" s="120">
        <f>ROUND(D52*G52,0)</f>
        <v/>
      </c>
      <c r="I52" s="120">
        <f>ROUND(G16*F52*G52,0)</f>
        <v/>
      </c>
      <c r="J52" s="120">
        <f>ROUND(H16*F52,0)</f>
        <v/>
      </c>
      <c r="K52" s="120">
        <f>ROUND(I16*F52,0)</f>
        <v/>
      </c>
      <c r="L52" s="121">
        <f>H52+I52+J52+K52</f>
        <v/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>
        <f>D53/E53</f>
        <v/>
      </c>
      <c r="G53" s="118">
        <f>F17</f>
        <v/>
      </c>
      <c r="H53" s="120">
        <f>ROUND(D53*G53,0)</f>
        <v/>
      </c>
      <c r="I53" s="120">
        <f>ROUND(G17*F53*G53,0)</f>
        <v/>
      </c>
      <c r="J53" s="120">
        <f>ROUND(H17*F53,0)</f>
        <v/>
      </c>
      <c r="K53" s="120">
        <f>ROUND(I17*F53,0)</f>
        <v/>
      </c>
      <c r="L53" s="121">
        <f>H53+I53+J53+K53</f>
        <v/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>
        <f>D54/E54</f>
        <v/>
      </c>
      <c r="G54" s="118">
        <f>F19</f>
        <v/>
      </c>
      <c r="H54" s="120">
        <f>ROUND(D54*G54,0)</f>
        <v/>
      </c>
      <c r="I54" s="120">
        <f>ROUND(G19*F54*G54,0)</f>
        <v/>
      </c>
      <c r="J54" s="120">
        <f>ROUND(H19*F54,0)</f>
        <v/>
      </c>
      <c r="K54" s="120">
        <f>ROUND(I19*F54,0)</f>
        <v/>
      </c>
      <c r="L54" s="121">
        <f>H54+I54+J54+K54</f>
        <v/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>
        <f>D55/E55</f>
        <v/>
      </c>
      <c r="G55" s="118">
        <f>F19</f>
        <v/>
      </c>
      <c r="H55" s="120">
        <f>ROUND(D55*G55,0)</f>
        <v/>
      </c>
      <c r="I55" s="120">
        <f>ROUND(G19*F55*G55,0)</f>
        <v/>
      </c>
      <c r="J55" s="120">
        <f>ROUND(H19*F55,0)</f>
        <v/>
      </c>
      <c r="K55" s="120">
        <f>ROUND(I19*F55,0)</f>
        <v/>
      </c>
      <c r="L55" s="121">
        <f>H55+I55+J55+K55</f>
        <v/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>
        <f>D56/E56</f>
        <v/>
      </c>
      <c r="G56" s="118">
        <f>F20</f>
        <v/>
      </c>
      <c r="H56" s="120">
        <f>ROUND(D56*G56,0)</f>
        <v/>
      </c>
      <c r="I56" s="120">
        <f>ROUND(G20*F56*G56,0)</f>
        <v/>
      </c>
      <c r="J56" s="120">
        <f>ROUND(H20*F56,0)</f>
        <v/>
      </c>
      <c r="K56" s="120">
        <f>ROUND(I20*F56,0)</f>
        <v/>
      </c>
      <c r="L56" s="121">
        <f>H56+I56+J56+K56</f>
        <v/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>
        <f>D57/E57</f>
        <v/>
      </c>
      <c r="G57" s="118">
        <f>F20</f>
        <v/>
      </c>
      <c r="H57" s="120">
        <f>ROUND(D57*G57,0)</f>
        <v/>
      </c>
      <c r="I57" s="120">
        <f>ROUND(G20*F57*G57,0)</f>
        <v/>
      </c>
      <c r="J57" s="120">
        <f>ROUND(H20*F57,0)</f>
        <v/>
      </c>
      <c r="K57" s="120">
        <f>ROUND(I20*F57,0)</f>
        <v/>
      </c>
      <c r="L57" s="121">
        <f>H57+I57+J57+K57</f>
        <v/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>
        <f>D58/E58</f>
        <v/>
      </c>
      <c r="G58" s="118">
        <f>F20</f>
        <v/>
      </c>
      <c r="H58" s="120">
        <f>ROUND(D58*G58,0)</f>
        <v/>
      </c>
      <c r="I58" s="120">
        <f>ROUND(G20*F58*G58,0)</f>
        <v/>
      </c>
      <c r="J58" s="120">
        <f>ROUND(H20*F58,0)</f>
        <v/>
      </c>
      <c r="K58" s="120">
        <f>ROUND(I20*F58,0)</f>
        <v/>
      </c>
      <c r="L58" s="121">
        <f>H58+I58+J58+K58</f>
        <v/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>
        <f>D59/E59</f>
        <v/>
      </c>
      <c r="G59" s="118">
        <f>F21</f>
        <v/>
      </c>
      <c r="H59" s="120">
        <f>ROUND(D59*G59,0)</f>
        <v/>
      </c>
      <c r="I59" s="120">
        <f>ROUND(G21*F59*G59,0)</f>
        <v/>
      </c>
      <c r="J59" s="120">
        <f>ROUND(H21*F59,0)</f>
        <v/>
      </c>
      <c r="K59" s="120">
        <f>ROUND(I21*F59,0)</f>
        <v/>
      </c>
      <c r="L59" s="121">
        <f>H59+I59+J59+K59</f>
        <v/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>
        <f>D60/E60</f>
        <v/>
      </c>
      <c r="G60" s="118">
        <f>F22</f>
        <v/>
      </c>
      <c r="H60" s="120">
        <f>ROUND(D60*G60,0)</f>
        <v/>
      </c>
      <c r="I60" s="120">
        <f>ROUND(G22*F60*G60,0)</f>
        <v/>
      </c>
      <c r="J60" s="120">
        <f>ROUND(H22*F60,0)</f>
        <v/>
      </c>
      <c r="K60" s="120">
        <f>ROUND(I22*F60,0)</f>
        <v/>
      </c>
      <c r="L60" s="121">
        <f>H60+I60+J60+K60</f>
        <v/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>
        <f>D61/E61</f>
        <v/>
      </c>
      <c r="G61" s="118">
        <f>F22</f>
        <v/>
      </c>
      <c r="H61" s="120">
        <f>ROUND(D61*G61,0)</f>
        <v/>
      </c>
      <c r="I61" s="120">
        <f>ROUND(G22*F61*G61,0)</f>
        <v/>
      </c>
      <c r="J61" s="120">
        <f>ROUND(H22*F61,0)</f>
        <v/>
      </c>
      <c r="K61" s="120">
        <f>ROUND(I22*F61,0)</f>
        <v/>
      </c>
      <c r="L61" s="121">
        <f>H61+I61+J61+K61</f>
        <v/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>
        <f>D62/E62</f>
        <v/>
      </c>
      <c r="G62" s="118">
        <f>F23</f>
        <v/>
      </c>
      <c r="H62" s="120">
        <f>ROUND(D62*G62,0)</f>
        <v/>
      </c>
      <c r="I62" s="120">
        <f>ROUND(G23*F62*G62,0)</f>
        <v/>
      </c>
      <c r="J62" s="120">
        <f>ROUND(H23*F62,0)</f>
        <v/>
      </c>
      <c r="K62" s="120">
        <f>ROUND(I23*F62,0)</f>
        <v/>
      </c>
      <c r="L62" s="121">
        <f>H62+I62+J62+K62</f>
        <v/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>
        <f>D63/E63</f>
        <v/>
      </c>
      <c r="G63" s="118">
        <f>F23</f>
        <v/>
      </c>
      <c r="H63" s="120">
        <f>ROUND(D63*G63,0)</f>
        <v/>
      </c>
      <c r="I63" s="120">
        <f>ROUND(G23*F63*G63,0)</f>
        <v/>
      </c>
      <c r="J63" s="120">
        <f>ROUND(H23*F63,0)</f>
        <v/>
      </c>
      <c r="K63" s="120">
        <f>ROUND(I23*F63,0)</f>
        <v/>
      </c>
      <c r="L63" s="121">
        <f>H63+I63+J63+K63</f>
        <v/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>
        <f>D64/E64</f>
        <v/>
      </c>
      <c r="G64" s="118">
        <f>F24</f>
        <v/>
      </c>
      <c r="H64" s="120">
        <f>ROUND(D64*G64,0)</f>
        <v/>
      </c>
      <c r="I64" s="120">
        <f>ROUND(G24*F64*G64,0)</f>
        <v/>
      </c>
      <c r="J64" s="120">
        <f>ROUND(H24*F64,0)</f>
        <v/>
      </c>
      <c r="K64" s="120">
        <f>ROUND(I24*F64,0)</f>
        <v/>
      </c>
      <c r="L64" s="121">
        <f>H64+I64+J64+K64</f>
        <v/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>
        <f>D65/E65</f>
        <v/>
      </c>
      <c r="G65" s="118">
        <f>F25</f>
        <v/>
      </c>
      <c r="H65" s="120">
        <f>ROUND(D65*G65,0)</f>
        <v/>
      </c>
      <c r="I65" s="120">
        <f>ROUND(G25*F65*G65,0)</f>
        <v/>
      </c>
      <c r="J65" s="120">
        <f>ROUND(H25*F65,0)</f>
        <v/>
      </c>
      <c r="K65" s="120">
        <f>ROUND(I25*F65,0)</f>
        <v/>
      </c>
      <c r="L65" s="121">
        <f>H65+I65+J65+K65</f>
        <v/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>
        <f>D66/E66</f>
        <v/>
      </c>
      <c r="G66" s="118">
        <f>F25</f>
        <v/>
      </c>
      <c r="H66" s="120">
        <f>ROUND(D66*G66,0)</f>
        <v/>
      </c>
      <c r="I66" s="120">
        <f>ROUND(G25*F66*G66,0)</f>
        <v/>
      </c>
      <c r="J66" s="120">
        <f>ROUND(H25*F66,0)</f>
        <v/>
      </c>
      <c r="K66" s="120">
        <f>ROUND(I25*F66,0)</f>
        <v/>
      </c>
      <c r="L66" s="121">
        <f>H66+I66+J66+K66</f>
        <v/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>
        <f>D67/E67</f>
        <v/>
      </c>
      <c r="G67" s="118">
        <f>F26</f>
        <v/>
      </c>
      <c r="H67" s="120">
        <f>ROUND(D67*G67,0)</f>
        <v/>
      </c>
      <c r="I67" s="120">
        <f>ROUND(G26*F67*G67,0)</f>
        <v/>
      </c>
      <c r="J67" s="120">
        <f>ROUND(H26*F67,0)</f>
        <v/>
      </c>
      <c r="K67" s="120">
        <f>ROUND(I26*F67,0)</f>
        <v/>
      </c>
      <c r="L67" s="121">
        <f>H67+I67+J67+K67</f>
        <v/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>
        <f>D68/E68</f>
        <v/>
      </c>
      <c r="G68" s="118">
        <f>F26</f>
        <v/>
      </c>
      <c r="H68" s="120">
        <f>ROUND(D68*G68,0)</f>
        <v/>
      </c>
      <c r="I68" s="120">
        <f>ROUND(G26*F68*G68,0)</f>
        <v/>
      </c>
      <c r="J68" s="120">
        <f>ROUND(H26*F68,0)</f>
        <v/>
      </c>
      <c r="K68" s="120">
        <f>ROUND(I26*F68,0)</f>
        <v/>
      </c>
      <c r="L68" s="121">
        <f>H68+I68+J68+K68</f>
        <v/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>
        <f>D69/E69</f>
        <v/>
      </c>
      <c r="G69" s="118">
        <f>F26</f>
        <v/>
      </c>
      <c r="H69" s="120">
        <f>ROUND(D69*G69,0)</f>
        <v/>
      </c>
      <c r="I69" s="120">
        <f>ROUND(G26*F69*G69,0)</f>
        <v/>
      </c>
      <c r="J69" s="120">
        <f>ROUND(H26*F69,0)</f>
        <v/>
      </c>
      <c r="K69" s="120">
        <f>ROUND(I26*F69,0)</f>
        <v/>
      </c>
      <c r="L69" s="121">
        <f>H69+I69+J69+K69</f>
        <v/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>
        <f>D70/E70</f>
        <v/>
      </c>
      <c r="G70" s="118">
        <f>F26</f>
        <v/>
      </c>
      <c r="H70" s="120">
        <f>ROUND(D70*G70,0)</f>
        <v/>
      </c>
      <c r="I70" s="120">
        <f>ROUND(G26*F70*G70,0)</f>
        <v/>
      </c>
      <c r="J70" s="120">
        <f>ROUND(H26*F70,0)</f>
        <v/>
      </c>
      <c r="K70" s="120">
        <f>ROUND(I26*F70,0)</f>
        <v/>
      </c>
      <c r="L70" s="121">
        <f>H70+I70+J70+K70</f>
        <v/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>
        <f>D71/E71</f>
        <v/>
      </c>
      <c r="G71" s="118">
        <f>F27</f>
        <v/>
      </c>
      <c r="H71" s="120">
        <f>ROUND(D71*G71,0)</f>
        <v/>
      </c>
      <c r="I71" s="120">
        <f>ROUND(G27*F71*G71,0)</f>
        <v/>
      </c>
      <c r="J71" s="120">
        <f>ROUND(H27*F71,0)</f>
        <v/>
      </c>
      <c r="K71" s="120">
        <f>ROUND(I27*F71,0)</f>
        <v/>
      </c>
      <c r="L71" s="121">
        <f>H71+I71+J71+K71</f>
        <v/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>
        <f>D72/E72</f>
        <v/>
      </c>
      <c r="G72" s="118">
        <f>F27</f>
        <v/>
      </c>
      <c r="H72" s="120">
        <f>ROUND(D72*G72,0)</f>
        <v/>
      </c>
      <c r="I72" s="120">
        <f>ROUND(G27*F72*G72,0)</f>
        <v/>
      </c>
      <c r="J72" s="120">
        <f>ROUND(H27*F72,0)</f>
        <v/>
      </c>
      <c r="K72" s="120">
        <f>ROUND(I27*F72,0)</f>
        <v/>
      </c>
      <c r="L72" s="121">
        <f>H72+I72+J72+K72</f>
        <v/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>
        <f>D73/E73</f>
        <v/>
      </c>
      <c r="G73" s="118">
        <f>F27</f>
        <v/>
      </c>
      <c r="H73" s="120">
        <f>ROUND(D73*G73,0)</f>
        <v/>
      </c>
      <c r="I73" s="120">
        <f>ROUND(G27*F73*G73,0)</f>
        <v/>
      </c>
      <c r="J73" s="120">
        <f>ROUND(H27*F73,0)</f>
        <v/>
      </c>
      <c r="K73" s="120">
        <f>ROUND(I27*F73,0)</f>
        <v/>
      </c>
      <c r="L73" s="121">
        <f>H73+I73+J73+K73</f>
        <v/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>
        <f>D74/E74</f>
        <v/>
      </c>
      <c r="G74" s="118">
        <f>F31</f>
        <v/>
      </c>
      <c r="H74" s="120">
        <f>ROUND(D74*G74,0)</f>
        <v/>
      </c>
      <c r="I74" s="120">
        <f>ROUND(G31*F74*G74,0)</f>
        <v/>
      </c>
      <c r="J74" s="120">
        <f>ROUND(H31*F74,0)</f>
        <v/>
      </c>
      <c r="K74" s="120">
        <f>ROUND(I31*F74,0)</f>
        <v/>
      </c>
      <c r="L74" s="121">
        <f>H74+I74+J74+K74</f>
        <v/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>
        <f>D75/E75</f>
        <v/>
      </c>
      <c r="G75" s="118">
        <f>F31</f>
        <v/>
      </c>
      <c r="H75" s="120">
        <f>ROUND(D75*G75,0)</f>
        <v/>
      </c>
      <c r="I75" s="120">
        <f>ROUND(G31*F75*G75,0)</f>
        <v/>
      </c>
      <c r="J75" s="120">
        <f>ROUND(H31*F75,0)</f>
        <v/>
      </c>
      <c r="K75" s="120">
        <f>ROUND(I31*F75,0)</f>
        <v/>
      </c>
      <c r="L75" s="121">
        <f>H75+I75+J75+K75</f>
        <v/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>
        <f>D76/E76</f>
        <v/>
      </c>
      <c r="G76" s="118">
        <f>F32</f>
        <v/>
      </c>
      <c r="H76" s="120">
        <f>ROUND(D76*G76,0)</f>
        <v/>
      </c>
      <c r="I76" s="120">
        <f>ROUND(G32*F76*G76,0)</f>
        <v/>
      </c>
      <c r="J76" s="120">
        <f>ROUND(H32*F76,0)</f>
        <v/>
      </c>
      <c r="K76" s="120">
        <f>ROUND(I32*F76,0)</f>
        <v/>
      </c>
      <c r="L76" s="121">
        <f>H76+I76+J76+K76</f>
        <v/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>
        <f>D77/E77</f>
        <v/>
      </c>
      <c r="G77" s="118">
        <f>F33</f>
        <v/>
      </c>
      <c r="H77" s="120">
        <f>ROUND(D77*G77,0)</f>
        <v/>
      </c>
      <c r="I77" s="120">
        <f>ROUND(G33*F77*G77,0)</f>
        <v/>
      </c>
      <c r="J77" s="120">
        <f>ROUND(H33*F77,0)</f>
        <v/>
      </c>
      <c r="K77" s="120">
        <f>ROUND(I33*F77,0)</f>
        <v/>
      </c>
      <c r="L77" s="121">
        <f>H77+I77+J77+K77</f>
        <v/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>
        <f>D78/E78</f>
        <v/>
      </c>
      <c r="G78" s="118">
        <f>F33</f>
        <v/>
      </c>
      <c r="H78" s="120">
        <f>ROUND(D78*G78,0)</f>
        <v/>
      </c>
      <c r="I78" s="120">
        <f>ROUND(G33*F78*G78,0)</f>
        <v/>
      </c>
      <c r="J78" s="120">
        <f>ROUND(H33*F78,0)</f>
        <v/>
      </c>
      <c r="K78" s="120">
        <f>ROUND(I33*F78,0)</f>
        <v/>
      </c>
      <c r="L78" s="121">
        <f>H78+I78+J78+K78</f>
        <v/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>
        <f>D79/E79</f>
        <v/>
      </c>
      <c r="G79" s="118">
        <f>F33</f>
        <v/>
      </c>
      <c r="H79" s="120">
        <f>ROUND(D79*G79,0)</f>
        <v/>
      </c>
      <c r="I79" s="120">
        <f>ROUND(G33*F79*G79,0)</f>
        <v/>
      </c>
      <c r="J79" s="120">
        <f>ROUND(H33*F79,0)</f>
        <v/>
      </c>
      <c r="K79" s="120">
        <f>ROUND(I33*F79,0)</f>
        <v/>
      </c>
      <c r="L79" s="121">
        <f>H79+I79+J79+K79</f>
        <v/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>
        <f>D80/E80</f>
        <v/>
      </c>
      <c r="G80" s="118">
        <f>F34</f>
        <v/>
      </c>
      <c r="H80" s="120">
        <f>ROUND(D80*G80,0)</f>
        <v/>
      </c>
      <c r="I80" s="120">
        <f>ROUND(G34*F80*G80,0)</f>
        <v/>
      </c>
      <c r="J80" s="120">
        <f>ROUND(H34*F80,0)</f>
        <v/>
      </c>
      <c r="K80" s="120">
        <f>ROUND(I34*F80,0)</f>
        <v/>
      </c>
      <c r="L80" s="121">
        <f>H80+I80+J80+K80</f>
        <v/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>
        <f>D81/E81</f>
        <v/>
      </c>
      <c r="G81" s="118">
        <f>F36</f>
        <v/>
      </c>
      <c r="H81" s="120">
        <f>ROUND(D81*G81,0)</f>
        <v/>
      </c>
      <c r="I81" s="120">
        <f>ROUND(G36*F81*G81,0)</f>
        <v/>
      </c>
      <c r="J81" s="120">
        <f>ROUND(H36*F81,0)</f>
        <v/>
      </c>
      <c r="K81" s="120">
        <f>ROUND(I36*F81,0)</f>
        <v/>
      </c>
      <c r="L81" s="121">
        <f>H81+I81+J81+K81</f>
        <v/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>
        <f>D82/E82</f>
        <v/>
      </c>
      <c r="G82" s="118">
        <f>F37</f>
        <v/>
      </c>
      <c r="H82" s="120">
        <f>ROUND(D82*G82,0)</f>
        <v/>
      </c>
      <c r="I82" s="120">
        <f>ROUND(G37*F82*G82,0)</f>
        <v/>
      </c>
      <c r="J82" s="120">
        <f>ROUND(H37*F82,0)</f>
        <v/>
      </c>
      <c r="K82" s="120">
        <f>ROUND(I37*F82,0)</f>
        <v/>
      </c>
      <c r="L82" s="121">
        <f>H82+I82+J82+K82</f>
        <v/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>
        <f>D83/E83</f>
        <v/>
      </c>
      <c r="G83" s="118">
        <f>F38</f>
        <v/>
      </c>
      <c r="H83" s="120">
        <f>ROUND(D83*G83,0)</f>
        <v/>
      </c>
      <c r="I83" s="120">
        <f>ROUND(G38*F83*G83,0)</f>
        <v/>
      </c>
      <c r="J83" s="120">
        <f>ROUND(H38*F83,0)</f>
        <v/>
      </c>
      <c r="K83" s="120">
        <f>ROUND(I38*F83,0)</f>
        <v/>
      </c>
      <c r="L83" s="121">
        <f>H83+I83+J83+K83</f>
        <v/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>
        <f>D84/E84</f>
        <v/>
      </c>
      <c r="G84" s="118">
        <f>F38</f>
        <v/>
      </c>
      <c r="H84" s="120">
        <f>ROUND(D84*G84,0)</f>
        <v/>
      </c>
      <c r="I84" s="120">
        <f>ROUND(G38*F84*G84,0)</f>
        <v/>
      </c>
      <c r="J84" s="120">
        <f>ROUND(H38*F84,0)</f>
        <v/>
      </c>
      <c r="K84" s="120">
        <f>ROUND(I38*F84,0)</f>
        <v/>
      </c>
      <c r="L84" s="121">
        <f>H84+I84+J84+K84</f>
        <v/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>
        <f>D85/E85</f>
        <v/>
      </c>
      <c r="G85" s="118">
        <f>F38</f>
        <v/>
      </c>
      <c r="H85" s="120">
        <f>ROUND(D85*G85,0)</f>
        <v/>
      </c>
      <c r="I85" s="120">
        <f>ROUND(G38*F85*G85,0)</f>
        <v/>
      </c>
      <c r="J85" s="120">
        <f>ROUND(H38*F85,0)</f>
        <v/>
      </c>
      <c r="K85" s="120">
        <f>ROUND(I38*F85,0)</f>
        <v/>
      </c>
      <c r="L85" s="121">
        <f>H85+I85+J85+K85</f>
        <v/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>
        <f>D86/E86</f>
        <v/>
      </c>
      <c r="G86" s="118">
        <f>F39</f>
        <v/>
      </c>
      <c r="H86" s="120">
        <f>ROUND(D86*G86,0)</f>
        <v/>
      </c>
      <c r="I86" s="120">
        <f>ROUND(G39*F86*G86,0)</f>
        <v/>
      </c>
      <c r="J86" s="120">
        <f>ROUND(H39*F86,0)</f>
        <v/>
      </c>
      <c r="K86" s="120">
        <f>ROUND(I39*F86,0)</f>
        <v/>
      </c>
      <c r="L86" s="121">
        <f>H86+I86+J86+K86</f>
        <v/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>
        <f>D87/E87</f>
        <v/>
      </c>
      <c r="G87" s="118">
        <f>F39</f>
        <v/>
      </c>
      <c r="H87" s="120">
        <f>ROUND(D87*G87,0)</f>
        <v/>
      </c>
      <c r="I87" s="120">
        <f>ROUND(G39*F87*G87,0)</f>
        <v/>
      </c>
      <c r="J87" s="120">
        <f>ROUND(H39*F87,0)</f>
        <v/>
      </c>
      <c r="K87" s="120">
        <f>ROUND(I39*F87,0)</f>
        <v/>
      </c>
      <c r="L87" s="121">
        <f>H87+I87+J87+K87</f>
        <v/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>
        <f>D88/E88</f>
        <v/>
      </c>
      <c r="G88" s="118">
        <f>F39</f>
        <v/>
      </c>
      <c r="H88" s="120">
        <f>ROUND(D88*G88,0)</f>
        <v/>
      </c>
      <c r="I88" s="120">
        <f>ROUND(G39*F88*G88,0)</f>
        <v/>
      </c>
      <c r="J88" s="120">
        <f>ROUND(H39*F88,0)</f>
        <v/>
      </c>
      <c r="K88" s="120">
        <f>ROUND(I39*F88,0)</f>
        <v/>
      </c>
      <c r="L88" s="121">
        <f>H88+I88+J88+K88</f>
        <v/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>
        <f>D89/E89</f>
        <v/>
      </c>
      <c r="G89" s="236">
        <f>F40</f>
        <v/>
      </c>
      <c r="H89" s="238">
        <f>ROUND(D89*G89,0)</f>
        <v/>
      </c>
      <c r="I89" s="238">
        <f>ROUND(G40*F89*G89,0)</f>
        <v/>
      </c>
      <c r="J89" s="238">
        <f>ROUND(H40*F89,0)</f>
        <v/>
      </c>
      <c r="K89" s="238">
        <f>ROUND(I40*F89,0)</f>
        <v/>
      </c>
      <c r="L89" s="239">
        <f>H89+I89+J89+K89</f>
        <v/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>
        <f>D90/E90</f>
        <v/>
      </c>
      <c r="G90" s="236">
        <f>F40</f>
        <v/>
      </c>
      <c r="H90" s="238">
        <f>ROUND(D90*G90,0)</f>
        <v/>
      </c>
      <c r="I90" s="238">
        <f>ROUND(G40*F90*G90,0)</f>
        <v/>
      </c>
      <c r="J90" s="238">
        <f>ROUND(H40*F90,0)</f>
        <v/>
      </c>
      <c r="K90" s="238">
        <f>ROUND(I40*F90,0)</f>
        <v/>
      </c>
      <c r="L90" s="239">
        <f>H90+I90+J90+K90</f>
        <v/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>
        <f>D91/E91</f>
        <v/>
      </c>
      <c r="G91" s="236">
        <f>F40</f>
        <v/>
      </c>
      <c r="H91" s="238">
        <f>ROUND(D91*G91,0)</f>
        <v/>
      </c>
      <c r="I91" s="238">
        <f>ROUND(G40*F91*G91,0)</f>
        <v/>
      </c>
      <c r="J91" s="238">
        <f>ROUND(H40*F91,0)</f>
        <v/>
      </c>
      <c r="K91" s="238">
        <f>ROUND(I40*F91,0)</f>
        <v/>
      </c>
      <c r="L91" s="239">
        <f>H91+I91+J91+K91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2026-06-10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미상환 L/C 현황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200" t="n">
        <v>67</v>
      </c>
      <c r="M16" s="59" t="n"/>
      <c r="N16" s="201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200" t="n">
        <v>60</v>
      </c>
      <c r="M17" s="59" t="inlineStr">
        <is>
          <t>2026-06-09</t>
        </is>
      </c>
      <c r="N17" s="201" t="n"/>
      <c r="O17" s="63" t="n"/>
      <c r="P17" s="59" t="inlineStr">
        <is>
          <t>6/9 만기 상환 완료 (USD 190,470)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2026-04-04T14:28:43Z</dcterms:created>
  <dcterms:modified xsi:type="dcterms:W3CDTF">2026-06-10T04:12:15Z</dcterms:modified>
  <cp:lastModifiedBy>원석 도</cp:lastModifiedBy>
  <cp:revision>0</cp:revision>
</cp:coreProperties>
</file>