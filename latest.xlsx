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'외화송금내역'!$A$3:$L$40</definedName>
    <definedName name="RemitTable2">'외화송금내역'!$A$43:$L$91</definedName>
    <definedName name="FxRateTable">환율!$A$7:$D$43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28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63" authorId="0" shapeId="0">
      <text>
        <t>관세율 0.00% - 세율구분 C(가가, WTO/ITA 양허)
수리반환 재수입 건, 부가세만 과세
(신고필증 2235626351613M)</t>
      </text>
    </comment>
    <comment ref="Y6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7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2026-06-16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29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29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S39+T39+W39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29" t="inlineStr">
        <is>
          <t>-</t>
        </is>
      </c>
      <c r="AF39" s="129" t="inlineStr">
        <is>
          <t>-</t>
        </is>
      </c>
    </row>
    <row r="40" ht="15.75" customHeight="1">
      <c r="A40" s="20" t="n">
        <v>29</v>
      </c>
      <c r="B40" s="20" t="inlineStr">
        <is>
          <t>CPO667</t>
        </is>
      </c>
      <c r="C40" s="21" t="inlineStr">
        <is>
          <t>Christie</t>
        </is>
      </c>
      <c r="D40" s="20" t="inlineStr">
        <is>
          <t>Net 45 days</t>
        </is>
      </c>
      <c r="E40" s="21" t="inlineStr">
        <is>
          <t>워런티(EW)</t>
        </is>
      </c>
      <c r="F40" s="183" t="n">
        <v>45925</v>
      </c>
      <c r="G40" s="184" t="n">
        <v>46080</v>
      </c>
      <c r="H40" s="24" t="n">
        <v>5673</v>
      </c>
      <c r="I40" s="185" t="n">
        <v>1441.6</v>
      </c>
      <c r="J40" s="26" t="n">
        <v>8178197</v>
      </c>
      <c r="K40" s="26" t="n">
        <v>8178197</v>
      </c>
      <c r="L40" s="26" t="n">
        <v>499</v>
      </c>
      <c r="M40" s="26" t="n">
        <v>319</v>
      </c>
      <c r="N40" s="20" t="inlineStr">
        <is>
          <t>EW CP2220</t>
        </is>
      </c>
      <c r="O40" s="20" t="inlineStr">
        <is>
          <t>-</t>
        </is>
      </c>
      <c r="P40" s="20" t="inlineStr">
        <is>
          <t>-</t>
        </is>
      </c>
      <c r="Q40" s="24">
        <f>IF(P40="","",IFERROR(VLOOKUP(O40,FxRateTable,4,TRUE),""))</f>
        <v/>
      </c>
      <c r="R40" s="26">
        <f>IF(P40="","",H40)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S40+T40+W40</f>
        <v/>
      </c>
      <c r="AA40" s="26">
        <f>K40+L40+M40+IFERROR(VLOOKUP(B40,RemitTable2,9,FALSE),0)+Y40+Z40</f>
        <v/>
      </c>
      <c r="AB40" s="27" t="n">
        <v>1</v>
      </c>
      <c r="AC40" s="26">
        <f>ROUND(AA40/AB40,0)</f>
        <v/>
      </c>
      <c r="AD40" s="20" t="inlineStr">
        <is>
          <t>2025-09</t>
        </is>
      </c>
      <c r="AE40" s="184" t="inlineStr">
        <is>
          <t>2025-09-13</t>
        </is>
      </c>
      <c r="AF40" s="183" t="inlineStr">
        <is>
          <t>2026-08-28</t>
        </is>
      </c>
    </row>
    <row r="41" ht="15.75" customHeight="1">
      <c r="A41" s="20" t="n">
        <v>30</v>
      </c>
      <c r="B41" s="20" t="inlineStr">
        <is>
          <t>GPO458</t>
        </is>
      </c>
      <c r="C41" s="21" t="inlineStr">
        <is>
          <t>GDC</t>
        </is>
      </c>
      <c r="D41" s="20" t="inlineStr">
        <is>
          <t>Net 30 days</t>
        </is>
      </c>
      <c r="E41" s="21" t="inlineStr">
        <is>
          <t>라이센스</t>
        </is>
      </c>
      <c r="F41" s="183" t="n">
        <v>45982</v>
      </c>
      <c r="G41" s="184" t="n">
        <v>46020</v>
      </c>
      <c r="H41" s="24" t="n">
        <v>350</v>
      </c>
      <c r="I41" s="185" t="n">
        <v>1439.1</v>
      </c>
      <c r="J41" s="26" t="n">
        <v>503685</v>
      </c>
      <c r="K41" s="26" t="n">
        <v>503685</v>
      </c>
      <c r="L41" s="26" t="n">
        <v>253</v>
      </c>
      <c r="M41" s="26" t="n">
        <v>202</v>
      </c>
      <c r="N41" s="20" t="inlineStr">
        <is>
          <t>HFR License</t>
        </is>
      </c>
      <c r="O41" s="20" t="inlineStr">
        <is>
          <t>-</t>
        </is>
      </c>
      <c r="P41" s="20" t="inlineStr">
        <is>
          <t>-</t>
        </is>
      </c>
      <c r="Q41" s="24">
        <f>IF(P41="","",IFERROR(VLOOKUP(O41,FxRateTable,4,TRUE),""))</f>
        <v/>
      </c>
      <c r="R41" s="26">
        <f>IF(P41="","",H41)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S41+T41+W41</f>
        <v/>
      </c>
      <c r="AA41" s="26">
        <f>K41+L41+M41+IFERROR(VLOOKUP(B41,RemitTable2,9,FALSE),0)+Y41+Z41</f>
        <v/>
      </c>
      <c r="AB41" s="27" t="n">
        <v>1</v>
      </c>
      <c r="AC41" s="26">
        <f>ROUND(AA41/AB41,0)</f>
        <v/>
      </c>
      <c r="AD41" s="20" t="inlineStr">
        <is>
          <t>2025-12</t>
        </is>
      </c>
      <c r="AE41" s="184" t="inlineStr">
        <is>
          <t>2025-12-01</t>
        </is>
      </c>
      <c r="AF41" s="183" t="inlineStr">
        <is>
          <t>2026-11-30</t>
        </is>
      </c>
    </row>
    <row r="42" ht="15.75" customHeight="1">
      <c r="A42" s="20" t="n">
        <v>31</v>
      </c>
      <c r="B42" s="20" t="inlineStr">
        <is>
          <t>CPO681</t>
        </is>
      </c>
      <c r="C42" s="21" t="inlineStr">
        <is>
          <t>Christie</t>
        </is>
      </c>
      <c r="D42" s="20" t="inlineStr">
        <is>
          <t>Net 45 days</t>
        </is>
      </c>
      <c r="E42" s="21" t="inlineStr">
        <is>
          <t>워런티(EW)</t>
        </is>
      </c>
      <c r="F42" s="183" t="n">
        <v>45993</v>
      </c>
      <c r="G42" s="184" t="n">
        <v>46064</v>
      </c>
      <c r="H42" s="24" t="n">
        <v>26358</v>
      </c>
      <c r="I42" s="185" t="n">
        <v>1460.7</v>
      </c>
      <c r="J42" s="26" t="n">
        <v>38501131</v>
      </c>
      <c r="K42" s="26" t="n">
        <v>38501131</v>
      </c>
      <c r="L42" s="26" t="n">
        <v>12500</v>
      </c>
      <c r="M42" s="26" t="n">
        <v>8000</v>
      </c>
      <c r="N42" s="20" t="inlineStr">
        <is>
          <t>EW CP2309/2315/2320-RGB</t>
        </is>
      </c>
      <c r="O42" s="20" t="inlineStr">
        <is>
          <t>-</t>
        </is>
      </c>
      <c r="P42" s="20" t="inlineStr">
        <is>
          <t>-</t>
        </is>
      </c>
      <c r="Q42" s="24">
        <f>IF(P42="","",IFERROR(VLOOKUP(O42,FxRateTable,4,TRUE),""))</f>
        <v/>
      </c>
      <c r="R42" s="26">
        <f>IF(P42="","",H42)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S42+T42+W42</f>
        <v/>
      </c>
      <c r="AA42" s="26">
        <f>K42+L42+M42+IFERROR(VLOOKUP(B42,RemitTable2,9,FALSE),0)+Y42+Z42</f>
        <v/>
      </c>
      <c r="AB42" s="27" t="n">
        <v>1</v>
      </c>
      <c r="AC42" s="26">
        <f>ROUND(AA42/AB42,0)</f>
        <v/>
      </c>
      <c r="AD42" s="20" t="inlineStr">
        <is>
          <t>2025-12</t>
        </is>
      </c>
      <c r="AE42" s="184" t="inlineStr">
        <is>
          <t>2025-12-22</t>
        </is>
      </c>
      <c r="AF42" s="183" t="inlineStr">
        <is>
          <t>2026-12-21</t>
        </is>
      </c>
    </row>
    <row r="43" ht="15.75" customHeight="1">
      <c r="A43" s="20" t="n">
        <v>32</v>
      </c>
      <c r="B43" s="20" t="inlineStr">
        <is>
          <t>GPO459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46007</v>
      </c>
      <c r="G43" s="184" t="n">
        <v>46043</v>
      </c>
      <c r="H43" s="24" t="n">
        <v>450</v>
      </c>
      <c r="I43" s="185" t="n">
        <v>1475.7</v>
      </c>
      <c r="J43" s="26" t="n">
        <v>664065</v>
      </c>
      <c r="K43" s="26" t="n">
        <v>664065</v>
      </c>
      <c r="L43" s="26" t="n">
        <v>912</v>
      </c>
      <c r="M43" s="26" t="n">
        <v>973</v>
      </c>
      <c r="N43" s="20" t="inlineStr">
        <is>
          <t>TMS-2000 EW</t>
        </is>
      </c>
      <c r="O43" s="20" t="inlineStr">
        <is>
          <t>-</t>
        </is>
      </c>
      <c r="P43" s="20" t="inlineStr">
        <is>
          <t>-</t>
        </is>
      </c>
      <c r="Q43" s="24">
        <f>IF(P43="","",IFERROR(VLOOKUP(O43,FxRateTable,4,TRUE),""))</f>
        <v/>
      </c>
      <c r="R43" s="26">
        <f>IF(P43="","",H43)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S43+T43+W43</f>
        <v/>
      </c>
      <c r="AA43" s="26">
        <f>K43+L43+M43+IFERROR(VLOOKUP(B43,RemitTable2,9,FALSE),0)+Y43+Z43</f>
        <v/>
      </c>
      <c r="AB43" s="27" t="n">
        <v>1</v>
      </c>
      <c r="AC43" s="26">
        <f>ROUND(AA43/AB43,0)</f>
        <v/>
      </c>
      <c r="AD43" s="20" t="inlineStr">
        <is>
          <t>2026-01</t>
        </is>
      </c>
      <c r="AE43" s="184" t="inlineStr">
        <is>
          <t>2026-01-01</t>
        </is>
      </c>
      <c r="AF43" s="183" t="inlineStr">
        <is>
          <t>2026-12-31</t>
        </is>
      </c>
    </row>
    <row r="44" ht="15.75" customHeight="1">
      <c r="A44" s="20" t="n">
        <v>33</v>
      </c>
      <c r="B44" s="20" t="inlineStr">
        <is>
          <t>GPO461</t>
        </is>
      </c>
      <c r="C44" s="21" t="inlineStr">
        <is>
          <t>GDC</t>
        </is>
      </c>
      <c r="D44" s="20" t="inlineStr">
        <is>
          <t>Net 30 days</t>
        </is>
      </c>
      <c r="E44" s="21" t="inlineStr">
        <is>
          <t>워런티(EW)</t>
        </is>
      </c>
      <c r="F44" s="183" t="n">
        <v>46007</v>
      </c>
      <c r="G44" s="184" t="n">
        <v>46043</v>
      </c>
      <c r="H44" s="24" t="n">
        <v>540</v>
      </c>
      <c r="I44" s="185" t="n">
        <v>1475.7</v>
      </c>
      <c r="J44" s="26" t="n">
        <v>796878</v>
      </c>
      <c r="K44" s="26" t="n">
        <v>796878</v>
      </c>
      <c r="L44" s="26" t="n">
        <v>1095</v>
      </c>
      <c r="M44" s="26" t="n">
        <v>1168</v>
      </c>
      <c r="N44" s="20" t="inlineStr">
        <is>
          <t>TMS-1000 EW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2025-11</t>
        </is>
      </c>
      <c r="AE44" s="184" t="inlineStr">
        <is>
          <t>2025-11-01</t>
        </is>
      </c>
      <c r="AF44" s="183" t="inlineStr">
        <is>
          <t>2026-10-30</t>
        </is>
      </c>
    </row>
    <row r="45" ht="15.75" customHeight="1">
      <c r="A45" s="20" t="n">
        <v>34</v>
      </c>
      <c r="B45" s="20" t="inlineStr">
        <is>
          <t>CPO685</t>
        </is>
      </c>
      <c r="C45" s="21" t="inlineStr">
        <is>
          <t>Christie</t>
        </is>
      </c>
      <c r="D45" s="20" t="inlineStr">
        <is>
          <t>Net 45 days</t>
        </is>
      </c>
      <c r="E45" s="21" t="inlineStr">
        <is>
          <t>워런티(EW)</t>
        </is>
      </c>
      <c r="F45" s="183" t="n">
        <v>46010</v>
      </c>
      <c r="G45" s="184" t="n">
        <v>46080</v>
      </c>
      <c r="H45" s="24" t="n">
        <v>136516</v>
      </c>
      <c r="I45" s="185" t="n">
        <v>1441.6</v>
      </c>
      <c r="J45" s="26" t="n">
        <v>196801466</v>
      </c>
      <c r="K45" s="26" t="n">
        <v>196801466</v>
      </c>
      <c r="L45" s="26" t="n">
        <v>12001</v>
      </c>
      <c r="M45" s="26" t="n">
        <v>7681</v>
      </c>
      <c r="N45" s="20" t="inlineStr">
        <is>
          <t>EW 대량 (CP2208~CP4450)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2026-01</t>
        </is>
      </c>
      <c r="AE45" s="184" t="inlineStr">
        <is>
          <t>2026-01-01</t>
        </is>
      </c>
      <c r="AF45" s="183" t="inlineStr">
        <is>
          <t>2026-12-31</t>
        </is>
      </c>
    </row>
    <row r="46" ht="15.75" customHeight="1">
      <c r="A46" s="20" t="n">
        <v>35</v>
      </c>
      <c r="B46" s="20" t="inlineStr">
        <is>
          <t>GPO465</t>
        </is>
      </c>
      <c r="C46" s="21" t="inlineStr">
        <is>
          <t>GDC</t>
        </is>
      </c>
      <c r="D46" s="20" t="inlineStr">
        <is>
          <t>Net 30 days</t>
        </is>
      </c>
      <c r="E46" s="21" t="inlineStr">
        <is>
          <t>워런티(EW)</t>
        </is>
      </c>
      <c r="F46" s="183" t="n">
        <v>46015</v>
      </c>
      <c r="G46" s="184" t="inlineStr">
        <is>
          <t>-</t>
        </is>
      </c>
      <c r="H46" s="24" t="n">
        <v>76054</v>
      </c>
      <c r="I46" s="185">
        <f>IFERROR(VLOOKUP(B46,RemitTable2,7,FALSE),0)</f>
        <v/>
      </c>
      <c r="J46" s="26" t="n">
        <v>0</v>
      </c>
      <c r="K46" s="26">
        <f>IFERROR(ROUND(H46*I46,0),0)</f>
        <v/>
      </c>
      <c r="L46" s="26">
        <f>IFERROR(VLOOKUP(B46,RemitTable2,10,FALSE),0)</f>
        <v/>
      </c>
      <c r="M46" s="26">
        <f>IFERROR(VLOOKUP(B46,RemitTable2,11,FALSE),0)</f>
        <v/>
      </c>
      <c r="N46" s="20" t="inlineStr">
        <is>
          <t>EW 대량 (SR/SX/TMS)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2026-01</t>
        </is>
      </c>
      <c r="AE46" s="184" t="inlineStr">
        <is>
          <t>2026-01-01</t>
        </is>
      </c>
      <c r="AF46" s="183" t="inlineStr">
        <is>
          <t>2026-12-31</t>
        </is>
      </c>
    </row>
    <row r="47" ht="15.75" customHeight="1">
      <c r="A47" s="20" t="n">
        <v>36</v>
      </c>
      <c r="B47" s="20" t="inlineStr">
        <is>
          <t>CPO686</t>
        </is>
      </c>
      <c r="C47" s="21" t="inlineStr">
        <is>
          <t>Christie</t>
        </is>
      </c>
      <c r="D47" s="20" t="inlineStr">
        <is>
          <t>Net 45 days</t>
        </is>
      </c>
      <c r="E47" s="21" t="inlineStr">
        <is>
          <t>워런티(EW)</t>
        </is>
      </c>
      <c r="F47" s="183" t="n">
        <v>46029</v>
      </c>
      <c r="G47" s="184" t="n">
        <v>46072</v>
      </c>
      <c r="H47" s="24" t="n">
        <v>14793</v>
      </c>
      <c r="I47" s="185" t="n">
        <v>1451.7</v>
      </c>
      <c r="J47" s="26" t="n">
        <v>21474998</v>
      </c>
      <c r="K47" s="26" t="n">
        <v>21474998</v>
      </c>
      <c r="L47" s="26" t="n">
        <v>8435</v>
      </c>
      <c r="M47" s="26" t="n">
        <v>6748</v>
      </c>
      <c r="N47" s="20" t="inlineStr">
        <is>
          <t>EW CP2315/CP4440-RGB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2026-01-30</t>
        </is>
      </c>
      <c r="AF47" s="183" t="inlineStr">
        <is>
          <t>2027-01-29</t>
        </is>
      </c>
    </row>
    <row r="48" ht="15.75" customHeight="1">
      <c r="A48" s="20" t="n">
        <v>37</v>
      </c>
      <c r="B48" s="20" t="inlineStr">
        <is>
          <t>CPO687</t>
        </is>
      </c>
      <c r="C48" s="21" t="inlineStr">
        <is>
          <t>Christie</t>
        </is>
      </c>
      <c r="D48" s="20" t="inlineStr">
        <is>
          <t>Net 45 days</t>
        </is>
      </c>
      <c r="E48" s="21" t="inlineStr">
        <is>
          <t>워런티(EW)</t>
        </is>
      </c>
      <c r="F48" s="183" t="n">
        <v>46029</v>
      </c>
      <c r="G48" s="184" t="inlineStr">
        <is>
          <t>-</t>
        </is>
      </c>
      <c r="H48" s="24" t="n">
        <v>26656</v>
      </c>
      <c r="I48" s="185">
        <f>IFERROR(VLOOKUP(B48,RemitTable2,7,FALSE),0)</f>
        <v/>
      </c>
      <c r="J48" s="26" t="n">
        <v>0</v>
      </c>
      <c r="K48" s="26">
        <f>IFERROR(ROUND(H48*I48,0),0)</f>
        <v/>
      </c>
      <c r="L48" s="26">
        <f>IFERROR(VLOOKUP(B48,RemitTable2,10,FALSE),0)</f>
        <v/>
      </c>
      <c r="M48" s="26">
        <f>IFERROR(VLOOKUP(B48,RemitTable2,11,FALSE),0)</f>
        <v/>
      </c>
      <c r="N48" s="20" t="inlineStr">
        <is>
          <t>EW (홀딩)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2026-01</t>
        </is>
      </c>
      <c r="AE48" s="184" t="inlineStr">
        <is>
          <t>-</t>
        </is>
      </c>
      <c r="AF48" s="183" t="inlineStr">
        <is>
          <t>-</t>
        </is>
      </c>
    </row>
    <row r="49" ht="15.75" customHeight="1">
      <c r="A49" s="20" t="n">
        <v>38</v>
      </c>
      <c r="B49" s="20" t="inlineStr">
        <is>
          <t>GPO462</t>
        </is>
      </c>
      <c r="C49" s="21" t="inlineStr">
        <is>
          <t>GDC</t>
        </is>
      </c>
      <c r="D49" s="20" t="inlineStr">
        <is>
          <t>Net 30 days</t>
        </is>
      </c>
      <c r="E49" s="21" t="inlineStr">
        <is>
          <t>라이센스</t>
        </is>
      </c>
      <c r="F49" s="183" t="n">
        <v>46042</v>
      </c>
      <c r="G49" s="184" t="n">
        <v>46057</v>
      </c>
      <c r="H49" s="24" t="n">
        <v>1440</v>
      </c>
      <c r="I49" s="185" t="n">
        <v>1453.6</v>
      </c>
      <c r="J49" s="26" t="n">
        <v>2093184</v>
      </c>
      <c r="K49" s="26" t="n">
        <v>2093184</v>
      </c>
      <c r="L49" s="26" t="n">
        <v>1241</v>
      </c>
      <c r="M49" s="26" t="n">
        <v>993</v>
      </c>
      <c r="N49" s="20" t="inlineStr">
        <is>
          <t>TMS-2000 License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39</v>
      </c>
      <c r="B50" s="20" t="inlineStr">
        <is>
          <t>GPO463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46042</v>
      </c>
      <c r="G50" s="184" t="n">
        <v>46057</v>
      </c>
      <c r="H50" s="24" t="n">
        <v>4489</v>
      </c>
      <c r="I50" s="185" t="n">
        <v>1453.6</v>
      </c>
      <c r="J50" s="26" t="n">
        <v>6525210</v>
      </c>
      <c r="K50" s="26" t="n">
        <v>6525210</v>
      </c>
      <c r="L50" s="26" t="n">
        <v>3870</v>
      </c>
      <c r="M50" s="26" t="n">
        <v>3096</v>
      </c>
      <c r="N50" s="20" t="inlineStr">
        <is>
          <t>SX/SR EW (CGV/Lotte)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40</v>
      </c>
      <c r="B51" s="20" t="inlineStr">
        <is>
          <t>GPO464</t>
        </is>
      </c>
      <c r="C51" s="21" t="inlineStr">
        <is>
          <t>GDC</t>
        </is>
      </c>
      <c r="D51" s="20" t="inlineStr">
        <is>
          <t>Net 30 days</t>
        </is>
      </c>
      <c r="E51" s="21" t="inlineStr">
        <is>
          <t>워런티(EW)</t>
        </is>
      </c>
      <c r="F51" s="183" t="n">
        <v>46042</v>
      </c>
      <c r="G51" s="184" t="n">
        <v>46057</v>
      </c>
      <c r="H51" s="24" t="n">
        <v>5670.57</v>
      </c>
      <c r="I51" s="185" t="n">
        <v>1453.6</v>
      </c>
      <c r="J51" s="26" t="n">
        <v>8242741</v>
      </c>
      <c r="K51" s="26" t="n">
        <v>8242741</v>
      </c>
      <c r="L51" s="26" t="n">
        <v>4889</v>
      </c>
      <c r="M51" s="26" t="n">
        <v>3911</v>
      </c>
      <c r="N51" s="20" t="inlineStr">
        <is>
          <t>SR-1000/SX-3000 EW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2026-01</t>
        </is>
      </c>
      <c r="AE51" s="184" t="inlineStr">
        <is>
          <t>2026-01-01</t>
        </is>
      </c>
      <c r="AF51" s="183" t="inlineStr">
        <is>
          <t>2026-12-31</t>
        </is>
      </c>
    </row>
    <row r="52" ht="15.75" customHeight="1">
      <c r="A52" s="20" t="n">
        <v>41</v>
      </c>
      <c r="B52" s="20" t="inlineStr">
        <is>
          <t>CPO691</t>
        </is>
      </c>
      <c r="C52" s="21" t="inlineStr">
        <is>
          <t>Christie</t>
        </is>
      </c>
      <c r="D52" s="20" t="inlineStr">
        <is>
          <t>Net 45 days</t>
        </is>
      </c>
      <c r="E52" s="21" t="inlineStr">
        <is>
          <t>워런티(EW)</t>
        </is>
      </c>
      <c r="F52" s="183" t="n">
        <v>46057</v>
      </c>
      <c r="G52" s="184" t="n">
        <v>46113</v>
      </c>
      <c r="H52" s="24" t="n">
        <v>24614</v>
      </c>
      <c r="I52" s="185" t="n">
        <v>1505.7</v>
      </c>
      <c r="J52" s="26" t="n">
        <v>37061300</v>
      </c>
      <c r="K52" s="26" t="n">
        <v>37061300</v>
      </c>
      <c r="L52" s="26" t="n">
        <v>8956</v>
      </c>
      <c r="M52" s="26" t="n">
        <v>5732</v>
      </c>
      <c r="N52" s="20" t="inlineStr">
        <is>
          <t>EW (메가박스 외)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2026-03</t>
        </is>
      </c>
      <c r="AE52" s="184" t="inlineStr">
        <is>
          <t>2026-03-01</t>
        </is>
      </c>
      <c r="AF52" s="183" t="inlineStr">
        <is>
          <t>2027-02-28</t>
        </is>
      </c>
    </row>
    <row r="53" ht="15.75" customHeight="1">
      <c r="A53" s="20" t="n">
        <v>42</v>
      </c>
      <c r="B53" s="20" t="inlineStr">
        <is>
          <t>GPO469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워런티(EW)</t>
        </is>
      </c>
      <c r="F53" s="183" t="n">
        <v>46060</v>
      </c>
      <c r="G53" s="184" t="n">
        <v>46113</v>
      </c>
      <c r="H53" s="24" t="n">
        <v>3993.05</v>
      </c>
      <c r="I53" s="185" t="n">
        <v>1506.4</v>
      </c>
      <c r="J53" s="26" t="n">
        <v>6015131</v>
      </c>
      <c r="K53" s="26" t="n">
        <v>6015131</v>
      </c>
      <c r="L53" s="26" t="n">
        <v>6093</v>
      </c>
      <c r="M53" s="26" t="n">
        <v>4875</v>
      </c>
      <c r="N53" s="20" t="inlineStr">
        <is>
          <t>SR/SX EW (하남미사 외)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2026-01</t>
        </is>
      </c>
      <c r="AE53" s="184" t="inlineStr">
        <is>
          <t>2026-01-01</t>
        </is>
      </c>
      <c r="AF53" s="183" t="inlineStr">
        <is>
          <t>2027-02-22</t>
        </is>
      </c>
    </row>
    <row r="54" ht="15.75" customHeight="1">
      <c r="A54" s="20" t="n">
        <v>43</v>
      </c>
      <c r="B54" s="20" t="inlineStr">
        <is>
          <t>GPO470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라이센스</t>
        </is>
      </c>
      <c r="F54" s="183" t="n">
        <v>46080</v>
      </c>
      <c r="G54" s="184" t="n">
        <v>46113</v>
      </c>
      <c r="H54" s="24" t="n">
        <v>360</v>
      </c>
      <c r="I54" s="185" t="n">
        <v>1506.4</v>
      </c>
      <c r="J54" s="26" t="n">
        <v>542304</v>
      </c>
      <c r="K54" s="26" t="n">
        <v>542304</v>
      </c>
      <c r="L54" s="26" t="n">
        <v>549</v>
      </c>
      <c r="M54" s="26" t="n">
        <v>439</v>
      </c>
      <c r="N54" s="20" t="inlineStr">
        <is>
          <t>TMS-1000 License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2026-03</t>
        </is>
      </c>
      <c r="AE54" s="184" t="inlineStr">
        <is>
          <t>2026-03-01</t>
        </is>
      </c>
      <c r="AF54" s="183" t="inlineStr">
        <is>
          <t>2027-02-28</t>
        </is>
      </c>
    </row>
    <row r="55" ht="15.75" customHeight="1">
      <c r="A55" s="20" t="n">
        <v>44</v>
      </c>
      <c r="B55" s="20" t="inlineStr">
        <is>
          <t>GPO471</t>
        </is>
      </c>
      <c r="C55" s="21" t="inlineStr">
        <is>
          <t>GDC</t>
        </is>
      </c>
      <c r="D55" s="20" t="inlineStr">
        <is>
          <t>Net 30 days</t>
        </is>
      </c>
      <c r="E55" s="21" t="inlineStr">
        <is>
          <t>라이센스</t>
        </is>
      </c>
      <c r="F55" s="183" t="n">
        <v>46088</v>
      </c>
      <c r="G55" s="184" t="n">
        <v>46113</v>
      </c>
      <c r="H55" s="24" t="n">
        <v>500</v>
      </c>
      <c r="I55" s="185" t="n">
        <v>1506.4</v>
      </c>
      <c r="J55" s="26" t="n">
        <v>753200</v>
      </c>
      <c r="K55" s="26" t="n">
        <v>753200</v>
      </c>
      <c r="L55" s="26" t="n">
        <v>763</v>
      </c>
      <c r="M55" s="26" t="n">
        <v>610</v>
      </c>
      <c r="N55" s="20" t="inlineStr">
        <is>
          <t>Dolby Atmos License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2026-03</t>
        </is>
      </c>
      <c r="AE55" s="184" t="inlineStr">
        <is>
          <t>-</t>
        </is>
      </c>
      <c r="AF55" s="183" t="inlineStr">
        <is>
          <t>-</t>
        </is>
      </c>
    </row>
    <row r="56" ht="15.75" customHeight="1">
      <c r="A56" s="20" t="n">
        <v>45</v>
      </c>
      <c r="B56" s="20" t="inlineStr">
        <is>
          <t>CPO694</t>
        </is>
      </c>
      <c r="C56" s="21" t="inlineStr">
        <is>
          <t>Christie</t>
        </is>
      </c>
      <c r="D56" s="20" t="inlineStr">
        <is>
          <t>Net 45 days</t>
        </is>
      </c>
      <c r="E56" s="21" t="inlineStr">
        <is>
          <t>워런티(EW)</t>
        </is>
      </c>
      <c r="F56" s="183" t="n">
        <v>46109</v>
      </c>
      <c r="G56" s="184" t="n">
        <v>46146</v>
      </c>
      <c r="H56" s="24" t="n">
        <v>17404</v>
      </c>
      <c r="I56" s="185" t="n">
        <v>1474.9</v>
      </c>
      <c r="J56" s="26" t="n">
        <v>25669160</v>
      </c>
      <c r="K56" s="26" t="n">
        <v>25669160</v>
      </c>
      <c r="L56" s="26" t="n">
        <v>10147</v>
      </c>
      <c r="M56" s="26" t="n">
        <v>6494</v>
      </c>
      <c r="N56" s="20" t="inlineStr">
        <is>
          <t>EW (CGV 동백 외)</t>
        </is>
      </c>
      <c r="O56" s="20" t="inlineStr">
        <is>
          <t>-</t>
        </is>
      </c>
      <c r="P56" s="20" t="inlineStr">
        <is>
          <t>-</t>
        </is>
      </c>
      <c r="Q56" s="24">
        <f>IF(P56="","",IFERROR(VLOOKUP(O56,FxRateTable,4,TRUE),""))</f>
        <v/>
      </c>
      <c r="R56" s="26">
        <f>IF(P56="","",H56)</f>
        <v/>
      </c>
      <c r="S56" s="26" t="n">
        <v>0</v>
      </c>
      <c r="T56" s="26" t="n">
        <v>0</v>
      </c>
      <c r="U56" s="21" t="n">
        <v>0</v>
      </c>
      <c r="V56" s="20" t="inlineStr">
        <is>
          <t>-</t>
        </is>
      </c>
      <c r="W56" s="26" t="n">
        <v>0</v>
      </c>
      <c r="X56" s="21" t="inlineStr">
        <is>
          <t>-</t>
        </is>
      </c>
      <c r="Y56" s="26" t="n">
        <v>0</v>
      </c>
      <c r="Z56" s="26">
        <f>S56+T56+W56</f>
        <v/>
      </c>
      <c r="AA56" s="26">
        <f>K56+L56+M56+IFERROR(VLOOKUP(B56,RemitTable2,9,FALSE),0)+Y56+Z56</f>
        <v/>
      </c>
      <c r="AB56" s="27" t="n">
        <v>1</v>
      </c>
      <c r="AC56" s="26">
        <f>ROUND(AA56/AB56,0)</f>
        <v/>
      </c>
      <c r="AD56" s="20" t="inlineStr">
        <is>
          <t>2026-04</t>
        </is>
      </c>
      <c r="AE56" s="184" t="inlineStr">
        <is>
          <t>2026-04-01</t>
        </is>
      </c>
      <c r="AF56" s="183" t="inlineStr">
        <is>
          <t>2027-03-31</t>
        </is>
      </c>
    </row>
    <row r="57" ht="15.75" customHeight="1">
      <c r="A57" s="85" t="n">
        <v>46</v>
      </c>
      <c r="B57" s="85" t="inlineStr">
        <is>
          <t>CPO697</t>
        </is>
      </c>
      <c r="C57" s="85" t="inlineStr">
        <is>
          <t>Christie</t>
        </is>
      </c>
      <c r="D57" s="85" t="inlineStr">
        <is>
          <t>Net 45 days</t>
        </is>
      </c>
      <c r="E57" s="85" t="inlineStr">
        <is>
          <t>워런티(EW)</t>
        </is>
      </c>
      <c r="F57" s="186" t="n">
        <v>46136</v>
      </c>
      <c r="G57" s="186" t="n">
        <v>46171</v>
      </c>
      <c r="H57" s="87" t="n">
        <v>15289</v>
      </c>
      <c r="I57" s="187" t="n">
        <v>1502.7</v>
      </c>
      <c r="J57" s="89" t="n">
        <v>22974780</v>
      </c>
      <c r="K57" s="89" t="n">
        <v>22974780</v>
      </c>
      <c r="L57" s="89" t="n">
        <v>1880</v>
      </c>
      <c r="M57" s="89" t="n">
        <v>1203</v>
      </c>
      <c r="N57" s="85" t="inlineStr">
        <is>
          <t>EW CP4425/CP2308/CP2315/CP2309/CP2320 13대 (메가박스 북대구 외)</t>
        </is>
      </c>
      <c r="O57" s="186" t="inlineStr">
        <is>
          <t>-</t>
        </is>
      </c>
      <c r="P57" s="85" t="inlineStr">
        <is>
          <t>-</t>
        </is>
      </c>
      <c r="Q57" s="87">
        <f>IF(P57="","",IFERROR(VLOOKUP(O57,FxRateTable,4,TRUE),""))</f>
        <v/>
      </c>
      <c r="R57" s="87">
        <f>IF(P57="","",H57)</f>
        <v/>
      </c>
      <c r="S57" s="89" t="n">
        <v>0</v>
      </c>
      <c r="T57" s="89" t="n">
        <v>0</v>
      </c>
      <c r="U57" s="186" t="n"/>
      <c r="V57" s="85" t="inlineStr">
        <is>
          <t>-</t>
        </is>
      </c>
      <c r="W57" s="89" t="n">
        <v>0</v>
      </c>
      <c r="X57" s="85" t="inlineStr">
        <is>
          <t>-</t>
        </is>
      </c>
      <c r="Y57" s="89" t="n">
        <v>0</v>
      </c>
      <c r="Z57" s="89">
        <f>S57+T57+W57</f>
        <v/>
      </c>
      <c r="AA57" s="89">
        <f>K57+L57+M57+IFERROR(VLOOKUP(B57,RemitTable2,9,FALSE),0)+Y57+Z57</f>
        <v/>
      </c>
      <c r="AB57" s="90" t="n">
        <v>1</v>
      </c>
      <c r="AC57" s="89">
        <f>ROUND(AA57/AB57,0)</f>
        <v/>
      </c>
      <c r="AD57" s="85" t="inlineStr">
        <is>
          <t>2026-04</t>
        </is>
      </c>
      <c r="AE57" s="186" t="n">
        <v>46168</v>
      </c>
      <c r="AF57" s="186" t="n">
        <v>46532</v>
      </c>
    </row>
    <row r="58" ht="15.75" customHeight="1">
      <c r="A58" s="85" t="n">
        <v>47</v>
      </c>
      <c r="B58" s="85" t="inlineStr">
        <is>
          <t>CPO693-2</t>
        </is>
      </c>
      <c r="C58" s="85" t="inlineStr">
        <is>
          <t>Christie</t>
        </is>
      </c>
      <c r="D58" s="85" t="inlineStr">
        <is>
          <t>Net 45 days</t>
        </is>
      </c>
      <c r="E58" s="85" t="inlineStr">
        <is>
          <t>워런티(EW)</t>
        </is>
      </c>
      <c r="F58" s="186" t="n">
        <v>46133</v>
      </c>
      <c r="G58" s="186" t="inlineStr">
        <is>
          <t>-</t>
        </is>
      </c>
      <c r="H58" s="87" t="n">
        <v>2550</v>
      </c>
      <c r="I58" s="187">
        <f>IFERROR(VLOOKUP(B58,RemitTable2,7,FALSE),0)</f>
        <v/>
      </c>
      <c r="J58" s="89" t="n">
        <v>0</v>
      </c>
      <c r="K58" s="89">
        <f>IFERROR(ROUND(H58*I58,0),0)</f>
        <v/>
      </c>
      <c r="L58" s="89">
        <f>IFERROR(VLOOKUP(B58,RemitTable2,10,FALSE),0)</f>
        <v/>
      </c>
      <c r="M58" s="89">
        <f>IFERROR(VLOOKUP(B58,RemitTable2,11,FALSE),0)</f>
        <v/>
      </c>
      <c r="N58" s="85" t="inlineStr">
        <is>
          <t>CP4420-RGB 2년 워런티 (CGV 구미)</t>
        </is>
      </c>
      <c r="O58" s="186" t="inlineStr">
        <is>
          <t>-</t>
        </is>
      </c>
      <c r="P58" s="85" t="inlineStr">
        <is>
          <t>-</t>
        </is>
      </c>
      <c r="Q58" s="87">
        <f>IF(P58="","",IFERROR(VLOOKUP(O58,FxRateTable,4,TRUE),""))</f>
        <v/>
      </c>
      <c r="R58" s="87">
        <f>IF(P58="","",H58)</f>
        <v/>
      </c>
      <c r="S58" s="89" t="n">
        <v>0</v>
      </c>
      <c r="T58" s="89" t="n">
        <v>0</v>
      </c>
      <c r="U58" s="186" t="n"/>
      <c r="V58" s="85" t="inlineStr">
        <is>
          <t>-</t>
        </is>
      </c>
      <c r="W58" s="89" t="n">
        <v>0</v>
      </c>
      <c r="X58" s="85" t="inlineStr">
        <is>
          <t>-</t>
        </is>
      </c>
      <c r="Y58" s="89" t="n">
        <v>0</v>
      </c>
      <c r="Z58" s="89">
        <f>S58+T58+W58</f>
        <v/>
      </c>
      <c r="AA58" s="89">
        <f>K58+L58+M58+IFERROR(VLOOKUP(B58,RemitTable2,9,FALSE),0)+Y58+Z58</f>
        <v/>
      </c>
      <c r="AB58" s="90" t="n">
        <v>1</v>
      </c>
      <c r="AC58" s="89">
        <f>ROUND(AA58/AB58,0)</f>
        <v/>
      </c>
      <c r="AD58" s="85" t="inlineStr">
        <is>
          <t>2026-04</t>
        </is>
      </c>
      <c r="AE58" s="186" t="n">
        <v>46142</v>
      </c>
      <c r="AF58" s="186" t="n">
        <v>46872</v>
      </c>
    </row>
    <row r="59">
      <c r="A59" s="132" t="n">
        <v>54</v>
      </c>
      <c r="B59" s="132" t="inlineStr">
        <is>
          <t>GPO478</t>
        </is>
      </c>
      <c r="C59" s="132" t="inlineStr">
        <is>
          <t>GDC</t>
        </is>
      </c>
      <c r="D59" s="132" t="inlineStr">
        <is>
          <t>Net 30 days</t>
        </is>
      </c>
      <c r="E59" s="132" t="inlineStr">
        <is>
          <t>라이센스</t>
        </is>
      </c>
      <c r="F59" s="188" t="n">
        <v>46127</v>
      </c>
      <c r="G59" s="188" t="n">
        <v>46161</v>
      </c>
      <c r="H59" s="134" t="n">
        <v>180</v>
      </c>
      <c r="I59" s="134" t="n">
        <v>1518.9</v>
      </c>
      <c r="J59" s="136" t="n">
        <v>273402</v>
      </c>
      <c r="K59" s="136" t="n">
        <v>273402</v>
      </c>
      <c r="L59" s="136" t="n">
        <v>2500</v>
      </c>
      <c r="M59" s="136" t="n">
        <v>8000</v>
      </c>
      <c r="N59" s="137" t="n"/>
      <c r="O59" s="137" t="n"/>
      <c r="P59" s="137" t="n"/>
      <c r="Q59" s="134">
        <f>IF(P59="","",IFERROR(VLOOKUP(O59,FxRateTable,4,TRUE),""))</f>
        <v/>
      </c>
      <c r="R59" s="134">
        <f>IF(P59="","",H59)</f>
        <v/>
      </c>
      <c r="S59" s="136" t="n">
        <v>0</v>
      </c>
      <c r="T59" s="136" t="n">
        <v>0</v>
      </c>
      <c r="U59" s="137" t="n"/>
      <c r="V59" s="137" t="n"/>
      <c r="W59" s="136" t="n">
        <v>0</v>
      </c>
      <c r="X59" s="132" t="inlineStr">
        <is>
          <t>-</t>
        </is>
      </c>
      <c r="Y59" s="136" t="n">
        <v>0</v>
      </c>
      <c r="Z59" s="136">
        <f>S59+T59+W59</f>
        <v/>
      </c>
      <c r="AA59" s="136">
        <f>K59+L59+M59+IFERROR(VLOOKUP(B59,RemitTable2,9,FALSE),0)+Y59+Z59</f>
        <v/>
      </c>
      <c r="AB59" s="168" t="n">
        <v>2</v>
      </c>
      <c r="AC59" s="136">
        <f>ROUND(AA59/AB59,0)</f>
        <v/>
      </c>
      <c r="AD59" s="137" t="inlineStr">
        <is>
          <t>2026-05</t>
        </is>
      </c>
      <c r="AE59" s="189" t="n">
        <v>46143</v>
      </c>
      <c r="AF59" s="189" t="n">
        <v>46507</v>
      </c>
    </row>
    <row r="60">
      <c r="A60" s="132" t="n">
        <v>55</v>
      </c>
      <c r="B60" s="132" t="inlineStr">
        <is>
          <t>GPO480</t>
        </is>
      </c>
      <c r="C60" s="132" t="inlineStr">
        <is>
          <t>GDC</t>
        </is>
      </c>
      <c r="D60" s="132" t="inlineStr">
        <is>
          <t>Net 30 days</t>
        </is>
      </c>
      <c r="E60" s="132" t="inlineStr">
        <is>
          <t>라이센스</t>
        </is>
      </c>
      <c r="F60" s="188" t="n">
        <v>46137</v>
      </c>
      <c r="G60" s="188" t="n">
        <v>46171</v>
      </c>
      <c r="H60" s="134" t="n">
        <v>250</v>
      </c>
      <c r="I60" s="134" t="n">
        <v>1502.8</v>
      </c>
      <c r="J60" s="136" t="n">
        <v>375700</v>
      </c>
      <c r="K60" s="136" t="n">
        <v>375700</v>
      </c>
      <c r="L60" s="136" t="n">
        <v>32</v>
      </c>
      <c r="M60" s="136" t="n">
        <v>20</v>
      </c>
      <c r="N60" s="137" t="n"/>
      <c r="O60" s="137" t="n"/>
      <c r="P60" s="137" t="n"/>
      <c r="Q60" s="134">
        <f>IF(P60="","",IFERROR(VLOOKUP(O60,FxRateTable,4,TRUE),""))</f>
        <v/>
      </c>
      <c r="R60" s="134">
        <f>IF(P60="","",H60)</f>
        <v/>
      </c>
      <c r="S60" s="136" t="n">
        <v>0</v>
      </c>
      <c r="T60" s="136" t="n">
        <v>0</v>
      </c>
      <c r="U60" s="137" t="n"/>
      <c r="V60" s="137" t="n"/>
      <c r="W60" s="136" t="n">
        <v>0</v>
      </c>
      <c r="X60" s="132" t="inlineStr">
        <is>
          <t>-</t>
        </is>
      </c>
      <c r="Y60" s="136" t="n">
        <v>0</v>
      </c>
      <c r="Z60" s="136">
        <f>S60+T60+W60</f>
        <v/>
      </c>
      <c r="AA60" s="136">
        <f>K60+L60+M60+IFERROR(VLOOKUP(B60,RemitTable2,9,FALSE),0)+Y60+Z60</f>
        <v/>
      </c>
      <c r="AB60" s="168" t="n">
        <v>1</v>
      </c>
      <c r="AC60" s="136">
        <f>ROUND(AA60/AB60,0)</f>
        <v/>
      </c>
      <c r="AD60" s="137" t="inlineStr">
        <is>
          <t>2026-05</t>
        </is>
      </c>
      <c r="AE60" s="189" t="n">
        <v>46143</v>
      </c>
      <c r="AF60" s="189" t="n">
        <v>49795</v>
      </c>
    </row>
    <row r="61">
      <c r="A61" s="132" t="n">
        <v>56</v>
      </c>
      <c r="B61" s="132" t="inlineStr">
        <is>
          <t>GPO481</t>
        </is>
      </c>
      <c r="C61" s="132" t="inlineStr">
        <is>
          <t>GDC</t>
        </is>
      </c>
      <c r="D61" s="132" t="inlineStr">
        <is>
          <t>Net 30 days</t>
        </is>
      </c>
      <c r="E61" s="132" t="inlineStr">
        <is>
          <t>라이센스</t>
        </is>
      </c>
      <c r="F61" s="188" t="n">
        <v>46152</v>
      </c>
      <c r="G61" s="233" t="n">
        <v>46183</v>
      </c>
      <c r="H61" s="134" t="n">
        <v>500</v>
      </c>
      <c r="I61" s="134" t="n">
        <v>1525.3</v>
      </c>
      <c r="J61" s="136" t="n">
        <v>762650</v>
      </c>
      <c r="K61" s="136" t="n">
        <v>762650</v>
      </c>
      <c r="L61" s="136" t="n">
        <v>52</v>
      </c>
      <c r="M61" s="136" t="n">
        <v>34</v>
      </c>
      <c r="N61" s="137" t="n"/>
      <c r="O61" s="137" t="n"/>
      <c r="P61" s="137" t="n"/>
      <c r="Q61" s="134">
        <f>IF(P61="","",IFERROR(VLOOKUP(O61,FxRateTable,4,TRUE),""))</f>
        <v/>
      </c>
      <c r="R61" s="134">
        <f>IF(P61="","",H61)</f>
        <v/>
      </c>
      <c r="S61" s="136" t="n">
        <v>0</v>
      </c>
      <c r="T61" s="136" t="n">
        <v>0</v>
      </c>
      <c r="U61" s="137" t="n"/>
      <c r="V61" s="137" t="n"/>
      <c r="W61" s="136" t="n">
        <v>0</v>
      </c>
      <c r="X61" s="132" t="inlineStr">
        <is>
          <t>-</t>
        </is>
      </c>
      <c r="Y61" s="136" t="n">
        <v>0</v>
      </c>
      <c r="Z61" s="136">
        <f>S61+T61+W61</f>
        <v/>
      </c>
      <c r="AA61" s="136">
        <f>K61+L61+M61+IFERROR(VLOOKUP(B61,RemitTable2,9,FALSE),0)+Y61+Z61</f>
        <v/>
      </c>
      <c r="AB61" s="168" t="n">
        <v>1</v>
      </c>
      <c r="AC61" s="136">
        <f>ROUND(AA61/AB61,0)</f>
        <v/>
      </c>
      <c r="AD61" s="137" t="inlineStr">
        <is>
          <t>2026-06</t>
        </is>
      </c>
      <c r="AE61" s="137" t="inlineStr">
        <is>
          <t>-</t>
        </is>
      </c>
      <c r="AF61" s="137" t="inlineStr">
        <is>
          <t>-</t>
        </is>
      </c>
    </row>
    <row r="62">
      <c r="A62" s="12" t="n">
        <v>48</v>
      </c>
      <c r="B62" s="12" t="inlineStr">
        <is>
          <t>CPO688</t>
        </is>
      </c>
      <c r="C62" s="13" t="inlineStr">
        <is>
          <t>Christie</t>
        </is>
      </c>
      <c r="D62" s="12" t="inlineStr">
        <is>
          <t>Net 45 days</t>
        </is>
      </c>
      <c r="E62" s="13" t="inlineStr">
        <is>
          <t>Inspection</t>
        </is>
      </c>
      <c r="F62" s="176" t="n">
        <v>46037</v>
      </c>
      <c r="G62" s="177" t="inlineStr">
        <is>
          <t>-</t>
        </is>
      </c>
      <c r="H62" s="16" t="n">
        <v>4180</v>
      </c>
      <c r="I62" s="178">
        <f>IFERROR(VLOOKUP(B62,RemitTable2,7,FALSE),0)</f>
        <v/>
      </c>
      <c r="J62" s="18" t="n">
        <v>0</v>
      </c>
      <c r="K62" s="18">
        <f>IFERROR(ROUND(H62*I62,0),0)</f>
        <v/>
      </c>
      <c r="L62" s="18">
        <f>IFERROR(VLOOKUP(B62,RemitTable2,10,FALSE),0)</f>
        <v/>
      </c>
      <c r="M62" s="18">
        <f>IFERROR(VLOOKUP(B62,RemitTable2,11,FALSE),0)</f>
        <v/>
      </c>
      <c r="N62" s="12" t="inlineStr">
        <is>
          <t>Inspection fee</t>
        </is>
      </c>
      <c r="O62" s="12" t="inlineStr">
        <is>
          <t>-</t>
        </is>
      </c>
      <c r="P62" s="12" t="inlineStr">
        <is>
          <t>-</t>
        </is>
      </c>
      <c r="Q62" s="16">
        <f>IF(P62="","",IFERROR(VLOOKUP(O62,FxRateTable,4,TRUE),""))</f>
        <v/>
      </c>
      <c r="R62" s="18">
        <f>IF(P62="","",H62)</f>
        <v/>
      </c>
      <c r="S62" s="18" t="n">
        <v>0</v>
      </c>
      <c r="T62" s="18" t="n">
        <v>0</v>
      </c>
      <c r="U62" s="13" t="n">
        <v>0</v>
      </c>
      <c r="V62" s="12" t="inlineStr">
        <is>
          <t>-</t>
        </is>
      </c>
      <c r="W62" s="18" t="n">
        <v>0</v>
      </c>
      <c r="X62" s="13" t="inlineStr">
        <is>
          <t>-</t>
        </is>
      </c>
      <c r="Y62" s="18" t="n">
        <v>0</v>
      </c>
      <c r="Z62" s="18">
        <f>S62+T62+W62</f>
        <v/>
      </c>
      <c r="AA62" s="18">
        <f>K62+L62+M62+IFERROR(VLOOKUP(B62,RemitTable2,9,FALSE),0)+Y62+Z62</f>
        <v/>
      </c>
      <c r="AB62" s="19" t="n">
        <v>1</v>
      </c>
      <c r="AC62" s="18">
        <f>ROUND(AA62/AB62,0)</f>
        <v/>
      </c>
      <c r="AD62" s="12" t="inlineStr">
        <is>
          <t>2026-01</t>
        </is>
      </c>
      <c r="AE62" s="177" t="inlineStr">
        <is>
          <t>-</t>
        </is>
      </c>
      <c r="AF62" s="176" t="inlineStr">
        <is>
          <t>-</t>
        </is>
      </c>
    </row>
    <row r="63">
      <c r="A63" s="12" t="n">
        <v>49</v>
      </c>
      <c r="B63" s="12" t="inlineStr">
        <is>
          <t>SX3000수리</t>
        </is>
      </c>
      <c r="C63" s="13" t="inlineStr">
        <is>
          <t>GDC</t>
        </is>
      </c>
      <c r="D63" s="12" t="inlineStr">
        <is>
          <t>-</t>
        </is>
      </c>
      <c r="E63" s="13" t="inlineStr">
        <is>
          <t>수리반환</t>
        </is>
      </c>
      <c r="F63" s="176" t="n"/>
      <c r="G63" s="177" t="inlineStr">
        <is>
          <t>-</t>
        </is>
      </c>
      <c r="H63" s="16" t="n">
        <v>400</v>
      </c>
      <c r="I63" s="178">
        <f>IFERROR(VLOOKUP(B63,RemitTable2,7,FALSE),0)</f>
        <v/>
      </c>
      <c r="J63" s="18" t="n">
        <v>0</v>
      </c>
      <c r="K63" s="18">
        <f>IFERROR(ROUND(H63*I63,0),0)</f>
        <v/>
      </c>
      <c r="L63" s="18">
        <f>IFERROR(VLOOKUP(B63,RemitTable2,10,FALSE),0)</f>
        <v/>
      </c>
      <c r="M63" s="18">
        <f>IFERROR(VLOOKUP(B63,RemitTable2,11,FALSE),0)</f>
        <v/>
      </c>
      <c r="N63" s="12" t="inlineStr">
        <is>
          <t>Display Card (수리반환 5PCS)</t>
        </is>
      </c>
      <c r="O63" s="177" t="n">
        <v>46125</v>
      </c>
      <c r="P63" s="12" t="inlineStr">
        <is>
          <t>22356-26-351613M</t>
        </is>
      </c>
      <c r="Q63" s="16">
        <f>IF(P63="","",IFERROR(VLOOKUP(O63,FxRateTable,4,TRUE),""))</f>
        <v/>
      </c>
      <c r="R63" s="18">
        <f>IF(P63="","",H63)</f>
        <v/>
      </c>
      <c r="S63" s="18" t="n">
        <v>0</v>
      </c>
      <c r="T63" s="18" t="n">
        <v>67750</v>
      </c>
      <c r="U63" s="13" t="n"/>
      <c r="V63" s="12" t="inlineStr">
        <is>
          <t>운서합동</t>
        </is>
      </c>
      <c r="W63" s="18" t="n">
        <v>0</v>
      </c>
      <c r="X63" s="13" t="inlineStr">
        <is>
          <t>DHL</t>
        </is>
      </c>
      <c r="Y63" s="18" t="n">
        <v>216006</v>
      </c>
      <c r="Z63" s="18">
        <f>S63+T63+W63</f>
        <v/>
      </c>
      <c r="AA63" s="18">
        <f>K63+L63+M63+IFERROR(VLOOKUP(B63,RemitTable2,9,FALSE),0)+Y63+Z63</f>
        <v/>
      </c>
      <c r="AB63" s="19" t="n">
        <v>5</v>
      </c>
      <c r="AC63" s="18">
        <f>ROUND(AA63/AB63,0)</f>
        <v/>
      </c>
      <c r="AD63" s="12" t="inlineStr">
        <is>
          <t>2026-04</t>
        </is>
      </c>
      <c r="AE63" s="177" t="n"/>
      <c r="AF63" s="176" t="n"/>
    </row>
    <row r="64">
      <c r="A64" s="216" t="n">
        <v>59</v>
      </c>
      <c r="B64" s="216" t="inlineStr">
        <is>
          <t>FRC-MONOPLEX26</t>
        </is>
      </c>
      <c r="C64" s="217" t="inlineStr">
        <is>
          <t>Ferco</t>
        </is>
      </c>
      <c r="D64" s="216" t="inlineStr">
        <is>
          <t>50% TT advance + 50% balance</t>
        </is>
      </c>
      <c r="E64" s="217" t="inlineStr">
        <is>
          <t>기타</t>
        </is>
      </c>
      <c r="F64" s="218" t="n">
        <v>46048</v>
      </c>
      <c r="G64" s="219" t="n">
        <v>46133</v>
      </c>
      <c r="H64" s="220" t="n">
        <v>51952</v>
      </c>
      <c r="I64" s="221">
        <f>IFERROR(VLOOKUP(B64,RemitTable2,7,FALSE),0)</f>
        <v/>
      </c>
      <c r="J64" s="222" t="n">
        <v>75818749</v>
      </c>
      <c r="K64" s="222" t="n">
        <v>75818749</v>
      </c>
      <c r="L64" s="222" t="n">
        <v>25000</v>
      </c>
      <c r="M64" s="222" t="n">
        <v>16000</v>
      </c>
      <c r="N64" s="216" t="inlineStr">
        <is>
          <t>Cinema Seat (Recliner) / 44 EA / Monoplex DH Bangbae</t>
        </is>
      </c>
      <c r="O64" s="219" t="n">
        <v>46153</v>
      </c>
      <c r="P64" s="216" t="inlineStr">
        <is>
          <t>14008-26-101147M</t>
        </is>
      </c>
      <c r="Q64" s="220">
        <f>IF(P64="","",IFERROR(VLOOKUP(O64,FxRateTable,4,TRUE),""))</f>
        <v/>
      </c>
      <c r="R64" s="220">
        <f>IF(P64="","",H64)</f>
        <v/>
      </c>
      <c r="S64" s="222" t="n">
        <v>31050</v>
      </c>
      <c r="T64" s="222" t="n">
        <v>7959560</v>
      </c>
      <c r="U64" s="218" t="n"/>
      <c r="V64" s="216" t="inlineStr">
        <is>
          <t>조운관세사무소</t>
        </is>
      </c>
      <c r="W64" s="222" t="n">
        <v>250000</v>
      </c>
      <c r="X64" s="217" t="inlineStr">
        <is>
          <t>진로직스</t>
        </is>
      </c>
      <c r="Y64" s="222" t="n">
        <v>5002612</v>
      </c>
      <c r="Z64" s="222">
        <f>S64+T64+W64</f>
        <v/>
      </c>
      <c r="AA64" s="222">
        <f>K64+L64+M64+IFERROR(VLOOKUP(B64,RemitTable2,9,FALSE),0)+Y64+Z64</f>
        <v/>
      </c>
      <c r="AB64" s="223" t="n">
        <v>44</v>
      </c>
      <c r="AC64" s="222">
        <f>ROUND(AA64/AB64,0)</f>
        <v/>
      </c>
      <c r="AD64" s="216" t="inlineStr">
        <is>
          <t>2026-05</t>
        </is>
      </c>
      <c r="AE64" s="216" t="n"/>
      <c r="AF64" s="217" t="n"/>
    </row>
    <row r="65">
      <c r="A65" s="147" t="inlineStr">
        <is>
          <t>장비/부품 합계</t>
        </is>
      </c>
      <c r="B65" s="148" t="n"/>
      <c r="C65" s="148" t="n"/>
      <c r="D65" s="148" t="n"/>
      <c r="E65" s="148" t="n"/>
      <c r="F65" s="148" t="n"/>
      <c r="G65" s="149" t="n"/>
      <c r="H65" s="142">
        <f>SUBTOTAL(9,H5:H39)</f>
        <v/>
      </c>
      <c r="I65" s="141" t="n"/>
      <c r="J65" s="142">
        <f>SUBTOTAL(9,J5:J39)</f>
        <v/>
      </c>
      <c r="K65" s="142">
        <f>SUBTOTAL(9,K5:K39)</f>
        <v/>
      </c>
      <c r="L65" s="142">
        <f>SUBTOTAL(9,L5:L39)</f>
        <v/>
      </c>
      <c r="M65" s="142">
        <f>SUBTOTAL(9,M5:M39)</f>
        <v/>
      </c>
      <c r="N65" s="141" t="n"/>
      <c r="O65" s="141" t="n"/>
      <c r="P65" s="141" t="n"/>
      <c r="Q65" s="142" t="n"/>
      <c r="R65" s="140" t="n"/>
      <c r="S65" s="142">
        <f>SUBTOTAL(9,S5:S39)</f>
        <v/>
      </c>
      <c r="T65" s="142">
        <f>SUBTOTAL(9,T5:T39)</f>
        <v/>
      </c>
      <c r="U65" s="141" t="n"/>
      <c r="V65" s="141" t="n"/>
      <c r="W65" s="142">
        <f>SUBTOTAL(9,W5:W39)</f>
        <v/>
      </c>
      <c r="X65" s="147" t="n"/>
      <c r="Y65" s="142">
        <f>SUBTOTAL(9,Y5:Y39)</f>
        <v/>
      </c>
      <c r="Z65" s="142">
        <f>SUBTOTAL(9,Z5:Z39)</f>
        <v/>
      </c>
      <c r="AA65" s="142">
        <f>SUBTOTAL(9,AA5:AA39)</f>
        <v/>
      </c>
      <c r="AB65" s="147" t="n"/>
      <c r="AC65" s="141" t="n"/>
      <c r="AD65" s="141" t="n"/>
      <c r="AE65" s="141" t="n"/>
      <c r="AF65" s="141" t="n"/>
    </row>
    <row r="66">
      <c r="A66" s="147" t="inlineStr">
        <is>
          <t>라이센스/워런티 합계</t>
        </is>
      </c>
      <c r="B66" s="148" t="n"/>
      <c r="C66" s="148" t="n"/>
      <c r="D66" s="148" t="n"/>
      <c r="E66" s="148" t="n"/>
      <c r="F66" s="148" t="n"/>
      <c r="G66" s="149" t="n"/>
      <c r="H66" s="142">
        <f>SUBTOTAL(9,H40:H61)</f>
        <v/>
      </c>
      <c r="I66" s="141" t="n"/>
      <c r="J66" s="142">
        <f>SUBTOTAL(9,J40:J61)</f>
        <v/>
      </c>
      <c r="K66" s="142">
        <f>SUBTOTAL(9,K40:K61)</f>
        <v/>
      </c>
      <c r="L66" s="142">
        <f>SUBTOTAL(9,L40:L61)</f>
        <v/>
      </c>
      <c r="M66" s="142">
        <f>SUBTOTAL(9,M40:M61)</f>
        <v/>
      </c>
      <c r="N66" s="141" t="n"/>
      <c r="O66" s="141" t="n"/>
      <c r="P66" s="141" t="n"/>
      <c r="Q66" s="142" t="n"/>
      <c r="R66" s="140" t="n"/>
      <c r="S66" s="142">
        <f>SUBTOTAL(9,S40:S61)</f>
        <v/>
      </c>
      <c r="T66" s="142">
        <f>SUBTOTAL(9,T40:T61)</f>
        <v/>
      </c>
      <c r="U66" s="141" t="n"/>
      <c r="V66" s="141" t="n"/>
      <c r="W66" s="142">
        <f>SUBTOTAL(9,W40:W61)</f>
        <v/>
      </c>
      <c r="X66" s="147" t="n"/>
      <c r="Y66" s="142">
        <f>SUBTOTAL(9,Y40:Y61)</f>
        <v/>
      </c>
      <c r="Z66" s="142">
        <f>SUBTOTAL(9,Z40:Z61)</f>
        <v/>
      </c>
      <c r="AA66" s="142">
        <f>SUBTOTAL(9,AA40:AA61)</f>
        <v/>
      </c>
      <c r="AB66" s="147" t="n"/>
      <c r="AC66" s="141" t="n"/>
      <c r="AD66" s="141" t="n"/>
      <c r="AE66" s="141" t="n"/>
      <c r="AF66" s="141" t="n"/>
    </row>
    <row r="67">
      <c r="A67" s="147" t="inlineStr">
        <is>
          <t>기타 합계</t>
        </is>
      </c>
      <c r="B67" s="148" t="n"/>
      <c r="C67" s="148" t="n"/>
      <c r="D67" s="148" t="n"/>
      <c r="E67" s="148" t="n"/>
      <c r="F67" s="148" t="n"/>
      <c r="G67" s="149" t="n"/>
      <c r="H67" s="142">
        <f>SUBTOTAL(9,H62:H64)</f>
        <v/>
      </c>
      <c r="I67" s="141" t="n"/>
      <c r="J67" s="142">
        <f>SUBTOTAL(9,J62:J64)</f>
        <v/>
      </c>
      <c r="K67" s="142">
        <f>SUBTOTAL(9,K62:K64)</f>
        <v/>
      </c>
      <c r="L67" s="142">
        <f>SUBTOTAL(9,L62:L64)</f>
        <v/>
      </c>
      <c r="M67" s="142">
        <f>SUBTOTAL(9,M62:M64)</f>
        <v/>
      </c>
      <c r="N67" s="141" t="n"/>
      <c r="O67" s="141" t="n"/>
      <c r="P67" s="141" t="n"/>
      <c r="Q67" s="142" t="n"/>
      <c r="R67" s="140" t="n"/>
      <c r="S67" s="142">
        <f>SUBTOTAL(9,S62:S64)</f>
        <v/>
      </c>
      <c r="T67" s="142">
        <f>SUBTOTAL(9,T62:T64)</f>
        <v/>
      </c>
      <c r="U67" s="141" t="n"/>
      <c r="V67" s="141" t="n"/>
      <c r="W67" s="142">
        <f>SUBTOTAL(9,W62:W64)</f>
        <v/>
      </c>
      <c r="X67" s="147" t="n"/>
      <c r="Y67" s="142">
        <f>SUBTOTAL(9,Y62:Y64)</f>
        <v/>
      </c>
      <c r="Z67" s="142">
        <f>SUBTOTAL(9,Z62:Z64)</f>
        <v/>
      </c>
      <c r="AA67" s="142">
        <f>SUBTOTAL(9,AA62:AA64)</f>
        <v/>
      </c>
      <c r="AB67" s="147" t="n"/>
      <c r="AC67" s="141" t="n"/>
      <c r="AD67" s="141" t="n"/>
      <c r="AE67" s="141" t="n"/>
      <c r="AF67" s="141" t="n"/>
    </row>
    <row r="68">
      <c r="A68" s="154" t="inlineStr">
        <is>
          <t>총 합계</t>
        </is>
      </c>
      <c r="B68" s="148" t="n"/>
      <c r="C68" s="148" t="n"/>
      <c r="D68" s="148" t="n"/>
      <c r="E68" s="148" t="n"/>
      <c r="F68" s="148" t="n"/>
      <c r="G68" s="149" t="n"/>
      <c r="H68" s="146">
        <f>SUBTOTAL(9,H5:H64)</f>
        <v/>
      </c>
      <c r="I68" s="145" t="n"/>
      <c r="J68" s="146">
        <f>SUBTOTAL(9,J5:J64)</f>
        <v/>
      </c>
      <c r="K68" s="146">
        <f>SUBTOTAL(9,K5:K64)</f>
        <v/>
      </c>
      <c r="L68" s="146">
        <f>SUBTOTAL(9,L5:L64)</f>
        <v/>
      </c>
      <c r="M68" s="146">
        <f>SUBTOTAL(9,M5:M64)</f>
        <v/>
      </c>
      <c r="N68" s="145" t="n"/>
      <c r="O68" s="145" t="n"/>
      <c r="P68" s="145" t="n"/>
      <c r="Q68" s="146" t="n"/>
      <c r="R68" s="144" t="n"/>
      <c r="S68" s="146">
        <f>SUBTOTAL(9,S5:S64)</f>
        <v/>
      </c>
      <c r="T68" s="146">
        <f>SUBTOTAL(9,T5:T64)</f>
        <v/>
      </c>
      <c r="U68" s="145" t="n"/>
      <c r="V68" s="145" t="n"/>
      <c r="W68" s="146">
        <f>SUBTOTAL(9,W5:W64)</f>
        <v/>
      </c>
      <c r="X68" s="154" t="n"/>
      <c r="Y68" s="146">
        <f>SUBTOTAL(9,Y5:Y64)</f>
        <v/>
      </c>
      <c r="Z68" s="146">
        <f>SUBTOTAL(9,Z5:Z64)</f>
        <v/>
      </c>
      <c r="AA68" s="146">
        <f>SUBTOTAL(9,AA5:AA64)</f>
        <v/>
      </c>
      <c r="AB68" s="154" t="n"/>
      <c r="AC68" s="145" t="n"/>
      <c r="AD68" s="145" t="n"/>
      <c r="AE68" s="145" t="n"/>
      <c r="AF68" s="145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75" t="n"/>
      <c r="Y70" s="39" t="n"/>
      <c r="Z70" s="39" t="n"/>
      <c r="AA70" s="39" t="n"/>
      <c r="AB70" s="75" t="n"/>
      <c r="AC70" s="39" t="n"/>
      <c r="AD70" s="39" t="n"/>
      <c r="AE70" s="39" t="n"/>
      <c r="AF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75" t="n"/>
      <c r="Y71" s="39" t="n"/>
      <c r="Z71" s="39" t="n"/>
      <c r="AA71" s="39" t="n"/>
      <c r="AB71" s="75" t="n"/>
      <c r="AC71" s="39" t="n"/>
      <c r="AD71" s="39" t="n"/>
      <c r="AE71" s="39" t="n"/>
      <c r="AF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75" t="n"/>
      <c r="Y72" s="39" t="n"/>
      <c r="Z72" s="39" t="n"/>
      <c r="AA72" s="39" t="n"/>
      <c r="AB72" s="75" t="n"/>
      <c r="AC72" s="39" t="n"/>
      <c r="AD72" s="39" t="n"/>
      <c r="AE72" s="39" t="n"/>
      <c r="AF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75" t="n"/>
      <c r="Y73" s="39" t="n"/>
      <c r="Z73" s="39" t="n"/>
      <c r="AA73" s="39" t="n"/>
      <c r="AB73" s="75" t="n"/>
      <c r="AC73" s="39" t="n"/>
      <c r="AD73" s="39" t="n"/>
      <c r="AE73" s="39" t="n"/>
      <c r="AF73" s="39" t="n"/>
    </row>
    <row r="87">
      <c r="M87" s="40" t="n"/>
    </row>
  </sheetData>
  <mergeCells count="12">
    <mergeCell ref="A66:G66"/>
    <mergeCell ref="G3:N3"/>
    <mergeCell ref="A67:G67"/>
    <mergeCell ref="A1:AF1"/>
    <mergeCell ref="AD3:AF3"/>
    <mergeCell ref="X3:Z3"/>
    <mergeCell ref="A65:G65"/>
    <mergeCell ref="A3:F3"/>
    <mergeCell ref="A68:G68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234" t="n">
        <v>38</v>
      </c>
      <c r="B40" s="234" t="inlineStr">
        <is>
          <t>2026.06.10</t>
        </is>
      </c>
      <c r="C40" s="235" t="inlineStr">
        <is>
          <t>GDC</t>
        </is>
      </c>
      <c r="D40" s="234" t="inlineStr">
        <is>
          <t>GPO481, GPO473-2, GPO473-3</t>
        </is>
      </c>
      <c r="E40" s="236" t="n">
        <v>119060</v>
      </c>
      <c r="F40" s="237" t="n">
        <v>1525.3</v>
      </c>
      <c r="G40" s="236" t="n">
        <v>20</v>
      </c>
      <c r="H40" s="238" t="n">
        <v>12500</v>
      </c>
      <c r="I40" s="238" t="n">
        <v>8000</v>
      </c>
      <c r="J40" s="238" t="n">
        <v>181653224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 t="n">
        <v>0.968835</v>
      </c>
      <c r="G43" s="118" t="n">
        <v>1479.7</v>
      </c>
      <c r="H43" s="120" t="n">
        <v>205801115</v>
      </c>
      <c r="I43" s="120" t="n">
        <v>28672</v>
      </c>
      <c r="J43" s="120" t="n">
        <v>12110</v>
      </c>
      <c r="K43" s="120" t="n">
        <v>7751</v>
      </c>
      <c r="L43" s="121" t="n">
        <v>205849648</v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 t="n">
        <v>0.031165</v>
      </c>
      <c r="G44" s="118" t="n">
        <v>1479.7</v>
      </c>
      <c r="H44" s="120" t="n">
        <v>6620178</v>
      </c>
      <c r="I44" s="120" t="n">
        <v>922</v>
      </c>
      <c r="J44" s="120" t="n">
        <v>390</v>
      </c>
      <c r="K44" s="120" t="n">
        <v>249</v>
      </c>
      <c r="L44" s="121" t="n">
        <v>6621739</v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 t="n">
        <v>0.328191</v>
      </c>
      <c r="G45" s="118" t="n">
        <v>1480</v>
      </c>
      <c r="H45" s="120" t="n">
        <v>7305280</v>
      </c>
      <c r="I45" s="120" t="n">
        <v>9714</v>
      </c>
      <c r="J45" s="120" t="n">
        <v>3282</v>
      </c>
      <c r="K45" s="120" t="n">
        <v>2626</v>
      </c>
      <c r="L45" s="121" t="n">
        <v>7320902</v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 t="n">
        <v>0.65368</v>
      </c>
      <c r="G46" s="118" t="n">
        <v>1439.1</v>
      </c>
      <c r="H46" s="120" t="n">
        <v>13038246</v>
      </c>
      <c r="I46" s="120" t="n">
        <v>18814</v>
      </c>
      <c r="J46" s="120" t="n">
        <v>6537</v>
      </c>
      <c r="K46" s="120" t="n">
        <v>5229</v>
      </c>
      <c r="L46" s="121" t="n">
        <v>13068826</v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 t="n">
        <v>0.025253</v>
      </c>
      <c r="G47" s="118" t="n">
        <v>1439.1</v>
      </c>
      <c r="H47" s="120" t="n">
        <v>503685</v>
      </c>
      <c r="I47" s="120" t="n">
        <v>727</v>
      </c>
      <c r="J47" s="120" t="n">
        <v>253</v>
      </c>
      <c r="K47" s="120" t="n">
        <v>202</v>
      </c>
      <c r="L47" s="121" t="n">
        <v>504867</v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 t="n">
        <v>1</v>
      </c>
      <c r="G48" s="118" t="n">
        <v>1479</v>
      </c>
      <c r="H48" s="120" t="n">
        <v>372708</v>
      </c>
      <c r="I48" s="120" t="n">
        <v>29580</v>
      </c>
      <c r="J48" s="120" t="n">
        <v>2500</v>
      </c>
      <c r="K48" s="120" t="n">
        <v>8000</v>
      </c>
      <c r="L48" s="121" t="n">
        <v>412788</v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 t="n">
        <v>0.121622</v>
      </c>
      <c r="G49" s="118" t="n">
        <v>1475.7</v>
      </c>
      <c r="H49" s="120" t="n">
        <v>664065</v>
      </c>
      <c r="I49" s="120" t="n">
        <v>3590</v>
      </c>
      <c r="J49" s="120" t="n">
        <v>912</v>
      </c>
      <c r="K49" s="120" t="n">
        <v>973</v>
      </c>
      <c r="L49" s="121" t="n">
        <v>669540</v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 t="n">
        <v>0.732432</v>
      </c>
      <c r="G50" s="118" t="n">
        <v>1475.7</v>
      </c>
      <c r="H50" s="120" t="n">
        <v>3999147</v>
      </c>
      <c r="I50" s="120" t="n">
        <v>21617</v>
      </c>
      <c r="J50" s="120" t="n">
        <v>5493</v>
      </c>
      <c r="K50" s="120" t="n">
        <v>5859</v>
      </c>
      <c r="L50" s="121" t="n">
        <v>4032116</v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 t="n">
        <v>0.145946</v>
      </c>
      <c r="G51" s="118" t="n">
        <v>1475.7</v>
      </c>
      <c r="H51" s="120" t="n">
        <v>796878</v>
      </c>
      <c r="I51" s="120" t="n">
        <v>4307</v>
      </c>
      <c r="J51" s="120" t="n">
        <v>1095</v>
      </c>
      <c r="K51" s="120" t="n">
        <v>1168</v>
      </c>
      <c r="L51" s="121" t="n">
        <v>803448</v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 t="n">
        <v>1</v>
      </c>
      <c r="G52" s="118" t="n">
        <v>1476</v>
      </c>
      <c r="H52" s="120" t="n">
        <v>14208493</v>
      </c>
      <c r="I52" s="120" t="n">
        <v>29520</v>
      </c>
      <c r="J52" s="120" t="n">
        <v>10000</v>
      </c>
      <c r="K52" s="120" t="n">
        <v>8000</v>
      </c>
      <c r="L52" s="121" t="n">
        <v>14256013</v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 t="n">
        <v>1</v>
      </c>
      <c r="G53" s="118" t="n">
        <v>1445.5</v>
      </c>
      <c r="H53" s="120" t="n">
        <v>7309604</v>
      </c>
      <c r="I53" s="120" t="n">
        <v>28910</v>
      </c>
      <c r="J53" s="120" t="n">
        <v>10000</v>
      </c>
      <c r="K53" s="120" t="n">
        <v>8000</v>
      </c>
      <c r="L53" s="121" t="n">
        <v>7356514</v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 t="n">
        <v>0.813665</v>
      </c>
      <c r="G54" s="118" t="n">
        <v>1454.7</v>
      </c>
      <c r="H54" s="120" t="n">
        <v>29347118</v>
      </c>
      <c r="I54" s="120" t="n">
        <v>23673</v>
      </c>
      <c r="J54" s="120" t="n">
        <v>10171</v>
      </c>
      <c r="K54" s="120" t="n">
        <v>6509</v>
      </c>
      <c r="L54" s="121" t="n">
        <v>29387471</v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 t="n">
        <v>0.186335</v>
      </c>
      <c r="G55" s="118" t="n">
        <v>1454.7</v>
      </c>
      <c r="H55" s="120" t="n">
        <v>6720714</v>
      </c>
      <c r="I55" s="120" t="n">
        <v>5421</v>
      </c>
      <c r="J55" s="120" t="n">
        <v>2329</v>
      </c>
      <c r="K55" s="120" t="n">
        <v>1491</v>
      </c>
      <c r="L55" s="121" t="n">
        <v>6729955</v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 t="n">
        <v>0.124143</v>
      </c>
      <c r="G56" s="118" t="n">
        <v>1453.6</v>
      </c>
      <c r="H56" s="120" t="n">
        <v>2093184</v>
      </c>
      <c r="I56" s="120" t="n">
        <v>3609</v>
      </c>
      <c r="J56" s="120" t="n">
        <v>1241</v>
      </c>
      <c r="K56" s="120" t="n">
        <v>993</v>
      </c>
      <c r="L56" s="121" t="n">
        <v>2099027</v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 t="n">
        <v>0.386997</v>
      </c>
      <c r="G57" s="118" t="n">
        <v>1453.6</v>
      </c>
      <c r="H57" s="120" t="n">
        <v>6525210</v>
      </c>
      <c r="I57" s="120" t="n">
        <v>11251</v>
      </c>
      <c r="J57" s="120" t="n">
        <v>3870</v>
      </c>
      <c r="K57" s="120" t="n">
        <v>3096</v>
      </c>
      <c r="L57" s="121" t="n">
        <v>6543427</v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 t="n">
        <v>0.48886</v>
      </c>
      <c r="G58" s="118" t="n">
        <v>1453.6</v>
      </c>
      <c r="H58" s="120" t="n">
        <v>8242741</v>
      </c>
      <c r="I58" s="120" t="n">
        <v>14212</v>
      </c>
      <c r="J58" s="120" t="n">
        <v>4889</v>
      </c>
      <c r="K58" s="120" t="n">
        <v>3911</v>
      </c>
      <c r="L58" s="121" t="n">
        <v>8265753</v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 t="n">
        <v>1</v>
      </c>
      <c r="G59" s="118" t="n">
        <v>1460.7</v>
      </c>
      <c r="H59" s="120" t="n">
        <v>38501131</v>
      </c>
      <c r="I59" s="120" t="n">
        <v>29214</v>
      </c>
      <c r="J59" s="120" t="n">
        <v>12500</v>
      </c>
      <c r="K59" s="120" t="n">
        <v>8000</v>
      </c>
      <c r="L59" s="121" t="n">
        <v>38550845</v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 t="n">
        <v>0.843483</v>
      </c>
      <c r="G60" s="118" t="n">
        <v>1451.7</v>
      </c>
      <c r="H60" s="120" t="n">
        <v>21474998</v>
      </c>
      <c r="I60" s="120" t="n">
        <v>24490</v>
      </c>
      <c r="J60" s="120" t="n">
        <v>8435</v>
      </c>
      <c r="K60" s="120" t="n">
        <v>6748</v>
      </c>
      <c r="L60" s="121" t="n">
        <v>21514671</v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 t="n">
        <v>0.156517</v>
      </c>
      <c r="G61" s="118" t="n">
        <v>1451.7</v>
      </c>
      <c r="H61" s="120" t="n">
        <v>3984917</v>
      </c>
      <c r="I61" s="120" t="n">
        <v>4544</v>
      </c>
      <c r="J61" s="120" t="n">
        <v>1565</v>
      </c>
      <c r="K61" s="120" t="n">
        <v>1252</v>
      </c>
      <c r="L61" s="121" t="n">
        <v>3992278</v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 t="n">
        <v>0.039898</v>
      </c>
      <c r="G62" s="118" t="n">
        <v>1441.6</v>
      </c>
      <c r="H62" s="120" t="n">
        <v>8178197</v>
      </c>
      <c r="I62" s="120" t="n">
        <v>1150</v>
      </c>
      <c r="J62" s="120" t="n">
        <v>499</v>
      </c>
      <c r="K62" s="120" t="n">
        <v>319</v>
      </c>
      <c r="L62" s="121" t="n">
        <v>8180165</v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 t="n">
        <v>0.960102</v>
      </c>
      <c r="G63" s="118" t="n">
        <v>1441.6</v>
      </c>
      <c r="H63" s="120" t="n">
        <v>196801466</v>
      </c>
      <c r="I63" s="120" t="n">
        <v>27682</v>
      </c>
      <c r="J63" s="120" t="n">
        <v>12001</v>
      </c>
      <c r="K63" s="120" t="n">
        <v>7681</v>
      </c>
      <c r="L63" s="121" t="n">
        <v>196848830</v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 t="n">
        <v>1</v>
      </c>
      <c r="G64" s="118" t="n">
        <v>1477.6</v>
      </c>
      <c r="H64" s="120" t="n">
        <v>203687160</v>
      </c>
      <c r="I64" s="120" t="n">
        <v>29552</v>
      </c>
      <c r="J64" s="120" t="n">
        <v>12500</v>
      </c>
      <c r="K64" s="120" t="n">
        <v>8000</v>
      </c>
      <c r="L64" s="121" t="n">
        <v>203737212</v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 t="n">
        <v>0.283519</v>
      </c>
      <c r="G65" s="118" t="n">
        <v>1505.7</v>
      </c>
      <c r="H65" s="120" t="n">
        <v>14665518</v>
      </c>
      <c r="I65" s="120" t="n">
        <v>8538</v>
      </c>
      <c r="J65" s="120" t="n">
        <v>3544</v>
      </c>
      <c r="K65" s="120" t="n">
        <v>2268</v>
      </c>
      <c r="L65" s="121" t="n">
        <v>14679868</v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 t="n">
        <v>0.716481</v>
      </c>
      <c r="G66" s="118" t="n">
        <v>1505.7</v>
      </c>
      <c r="H66" s="120" t="n">
        <v>37061300</v>
      </c>
      <c r="I66" s="120" t="n">
        <v>21576</v>
      </c>
      <c r="J66" s="120" t="n">
        <v>8956</v>
      </c>
      <c r="K66" s="120" t="n">
        <v>5732</v>
      </c>
      <c r="L66" s="121" t="n">
        <v>37097564</v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 t="n">
        <v>0.259421</v>
      </c>
      <c r="G67" s="118" t="n">
        <v>1506.4</v>
      </c>
      <c r="H67" s="120" t="n">
        <v>2560880</v>
      </c>
      <c r="I67" s="120" t="n">
        <v>7816</v>
      </c>
      <c r="J67" s="120" t="n">
        <v>2594</v>
      </c>
      <c r="K67" s="120" t="n">
        <v>2075</v>
      </c>
      <c r="L67" s="121" t="n">
        <v>2573365</v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 t="n">
        <v>0.6093420000000001</v>
      </c>
      <c r="G68" s="118" t="n">
        <v>1506.4</v>
      </c>
      <c r="H68" s="120" t="n">
        <v>6015131</v>
      </c>
      <c r="I68" s="120" t="n">
        <v>18358</v>
      </c>
      <c r="J68" s="120" t="n">
        <v>6093</v>
      </c>
      <c r="K68" s="120" t="n">
        <v>4875</v>
      </c>
      <c r="L68" s="121" t="n">
        <v>6044457</v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 t="n">
        <v>0.054936</v>
      </c>
      <c r="G69" s="118" t="n">
        <v>1506.4</v>
      </c>
      <c r="H69" s="120" t="n">
        <v>542304</v>
      </c>
      <c r="I69" s="120" t="n">
        <v>1655</v>
      </c>
      <c r="J69" s="120" t="n">
        <v>549</v>
      </c>
      <c r="K69" s="120" t="n">
        <v>439</v>
      </c>
      <c r="L69" s="121" t="n">
        <v>544947</v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 t="n">
        <v>0.07630000000000001</v>
      </c>
      <c r="G70" s="118" t="n">
        <v>1506.4</v>
      </c>
      <c r="H70" s="120" t="n">
        <v>753200</v>
      </c>
      <c r="I70" s="120" t="n">
        <v>2299</v>
      </c>
      <c r="J70" s="120" t="n">
        <v>763</v>
      </c>
      <c r="K70" s="120" t="n">
        <v>610</v>
      </c>
      <c r="L70" s="121" t="n">
        <v>756872</v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 t="n">
        <v>0.627754</v>
      </c>
      <c r="G71" s="118" t="n">
        <v>1481.9</v>
      </c>
      <c r="H71" s="120" t="n">
        <v>53629961</v>
      </c>
      <c r="I71" s="120" t="n">
        <v>18605</v>
      </c>
      <c r="J71" s="120" t="n">
        <v>7847</v>
      </c>
      <c r="K71" s="120" t="n">
        <v>5022</v>
      </c>
      <c r="L71" s="121" t="n">
        <v>53661435</v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 t="n">
        <v>0.003122</v>
      </c>
      <c r="G72" s="118" t="n">
        <v>1481.9</v>
      </c>
      <c r="H72" s="120" t="n">
        <v>266742</v>
      </c>
      <c r="I72" s="120" t="n">
        <v>93</v>
      </c>
      <c r="J72" s="120" t="n">
        <v>39</v>
      </c>
      <c r="K72" s="120" t="n">
        <v>25</v>
      </c>
      <c r="L72" s="121" t="n">
        <v>266899</v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 t="n">
        <v>0.369124</v>
      </c>
      <c r="G73" s="118" t="n">
        <v>1481.9</v>
      </c>
      <c r="H73" s="120" t="n">
        <v>31534832</v>
      </c>
      <c r="I73" s="120" t="n">
        <v>10940</v>
      </c>
      <c r="J73" s="120" t="n">
        <v>4614</v>
      </c>
      <c r="K73" s="120" t="n">
        <v>2953</v>
      </c>
      <c r="L73" s="121" t="n">
        <v>31553339</v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 t="n">
        <v>0.036965</v>
      </c>
      <c r="G74" s="118" t="n">
        <v>1482.8</v>
      </c>
      <c r="H74" s="120" t="n">
        <v>16310800</v>
      </c>
      <c r="I74" s="120" t="n">
        <v>1096</v>
      </c>
      <c r="J74" s="120" t="n">
        <v>462</v>
      </c>
      <c r="K74" s="120" t="n">
        <v>296</v>
      </c>
      <c r="L74" s="121" t="n">
        <v>16312654</v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 t="n">
        <v>0.963035</v>
      </c>
      <c r="G75" s="118" t="n">
        <v>1482.8</v>
      </c>
      <c r="H75" s="120" t="n">
        <v>424940824</v>
      </c>
      <c r="I75" s="120" t="n">
        <v>28560</v>
      </c>
      <c r="J75" s="120" t="n">
        <v>12038</v>
      </c>
      <c r="K75" s="120" t="n">
        <v>7704</v>
      </c>
      <c r="L75" s="121" t="n">
        <v>424989126</v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 t="n">
        <v>1</v>
      </c>
      <c r="G76" s="118" t="n">
        <v>1741.08</v>
      </c>
      <c r="H76" s="120" t="n">
        <v>7640555</v>
      </c>
      <c r="I76" s="120" t="n">
        <v>43527</v>
      </c>
      <c r="J76" s="120" t="n">
        <v>10000</v>
      </c>
      <c r="K76" s="120" t="n">
        <v>8000</v>
      </c>
      <c r="L76" s="121" t="n">
        <v>7702082</v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 t="n">
        <v>0.811792</v>
      </c>
      <c r="G77" s="118" t="n">
        <v>1474.9</v>
      </c>
      <c r="H77" s="120" t="n">
        <v>25669160</v>
      </c>
      <c r="I77" s="120" t="n">
        <v>23946</v>
      </c>
      <c r="J77" s="120" t="n">
        <v>10147</v>
      </c>
      <c r="K77" s="120" t="n">
        <v>6494</v>
      </c>
      <c r="L77" s="121" t="n">
        <v>25709747</v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 t="n">
        <v>0.09599299999999999</v>
      </c>
      <c r="G78" s="118" t="n">
        <v>1474.9</v>
      </c>
      <c r="H78" s="120" t="n">
        <v>3035344</v>
      </c>
      <c r="I78" s="120" t="n">
        <v>2832</v>
      </c>
      <c r="J78" s="120" t="n">
        <v>1200</v>
      </c>
      <c r="K78" s="120" t="n">
        <v>768</v>
      </c>
      <c r="L78" s="121" t="n">
        <v>3040144</v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 t="n">
        <v>0.09221500000000001</v>
      </c>
      <c r="G79" s="118" t="n">
        <v>1474.9</v>
      </c>
      <c r="H79" s="120" t="n">
        <v>2915877</v>
      </c>
      <c r="I79" s="120" t="n">
        <v>2720</v>
      </c>
      <c r="J79" s="120" t="n">
        <v>1153</v>
      </c>
      <c r="K79" s="120" t="n">
        <v>738</v>
      </c>
      <c r="L79" s="121" t="n">
        <v>2920488</v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 t="n">
        <v>1</v>
      </c>
      <c r="G80" s="118" t="n">
        <v>1475.2</v>
      </c>
      <c r="H80" s="120" t="n">
        <v>10031360</v>
      </c>
      <c r="I80" s="120" t="n">
        <v>29504</v>
      </c>
      <c r="J80" s="120" t="n">
        <v>10000</v>
      </c>
      <c r="K80" s="120" t="n">
        <v>8000</v>
      </c>
      <c r="L80" s="121" t="n">
        <v>10078864</v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 t="n">
        <v>1</v>
      </c>
      <c r="G81" s="118" t="n">
        <v>1518.9</v>
      </c>
      <c r="H81" s="120" t="n">
        <v>273402</v>
      </c>
      <c r="I81" s="120" t="n">
        <v>30378</v>
      </c>
      <c r="J81" s="120" t="n">
        <v>2500</v>
      </c>
      <c r="K81" s="120" t="n">
        <v>8000</v>
      </c>
      <c r="L81" s="121" t="n">
        <v>314280</v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 t="n">
        <v>1</v>
      </c>
      <c r="G82" s="118" t="n">
        <v>1510.6</v>
      </c>
      <c r="H82" s="120" t="n">
        <v>6480474</v>
      </c>
      <c r="I82" s="120" t="n">
        <v>30212</v>
      </c>
      <c r="J82" s="120" t="n">
        <v>7500</v>
      </c>
      <c r="K82" s="120" t="n">
        <v>8000</v>
      </c>
      <c r="L82" s="121" t="n">
        <v>6526186</v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 t="n">
        <v>0.996571</v>
      </c>
      <c r="G83" s="118" t="n">
        <v>1502.8</v>
      </c>
      <c r="H83" s="120" t="n">
        <v>148476640</v>
      </c>
      <c r="I83" s="120" t="n">
        <v>29953</v>
      </c>
      <c r="J83" s="120" t="n">
        <v>12457</v>
      </c>
      <c r="K83" s="120" t="n">
        <v>7973</v>
      </c>
      <c r="L83" s="121" t="n">
        <v>148527023</v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 t="n">
        <v>0.002522</v>
      </c>
      <c r="G84" s="118" t="n">
        <v>1502.8</v>
      </c>
      <c r="H84" s="120" t="n">
        <v>375700</v>
      </c>
      <c r="I84" s="120" t="n">
        <v>76</v>
      </c>
      <c r="J84" s="120" t="n">
        <v>32</v>
      </c>
      <c r="K84" s="120" t="n">
        <v>20</v>
      </c>
      <c r="L84" s="121" t="n">
        <v>375828</v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 t="n">
        <v>0.000908</v>
      </c>
      <c r="G85" s="118" t="n">
        <v>1502.8</v>
      </c>
      <c r="H85" s="120" t="n">
        <v>135252</v>
      </c>
      <c r="I85" s="120" t="n">
        <v>27</v>
      </c>
      <c r="J85" s="120" t="n">
        <v>11</v>
      </c>
      <c r="K85" s="120" t="n">
        <v>7</v>
      </c>
      <c r="L85" s="121" t="n">
        <v>135297</v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 t="n">
        <v>0.150426</v>
      </c>
      <c r="G86" s="118" t="n">
        <v>1502.7</v>
      </c>
      <c r="H86" s="120" t="n">
        <v>22974780</v>
      </c>
      <c r="I86" s="120" t="n">
        <v>4521</v>
      </c>
      <c r="J86" s="120" t="n">
        <v>1880</v>
      </c>
      <c r="K86" s="120" t="n">
        <v>1203</v>
      </c>
      <c r="L86" s="121" t="n">
        <v>22982384</v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 t="n">
        <v>0.769486</v>
      </c>
      <c r="G87" s="118" t="n">
        <v>1502.7</v>
      </c>
      <c r="H87" s="120" t="n">
        <v>117524664</v>
      </c>
      <c r="I87" s="120" t="n">
        <v>23126</v>
      </c>
      <c r="J87" s="120" t="n">
        <v>9619</v>
      </c>
      <c r="K87" s="120" t="n">
        <v>6156</v>
      </c>
      <c r="L87" s="121" t="n">
        <v>117563565</v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 t="n">
        <v>0.08008800000000001</v>
      </c>
      <c r="G88" s="118" t="n">
        <v>1502.7</v>
      </c>
      <c r="H88" s="120" t="n">
        <v>12231978</v>
      </c>
      <c r="I88" s="120" t="n">
        <v>2407</v>
      </c>
      <c r="J88" s="120" t="n">
        <v>1001</v>
      </c>
      <c r="K88" s="120" t="n">
        <v>641</v>
      </c>
      <c r="L88" s="121" t="n">
        <v>12236027</v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 t="n">
        <v>0.0042</v>
      </c>
      <c r="G89" s="236" t="n">
        <v>1525.3</v>
      </c>
      <c r="H89" s="238" t="n">
        <v>762650</v>
      </c>
      <c r="I89" s="238" t="n">
        <v>128</v>
      </c>
      <c r="J89" s="238" t="n">
        <v>52</v>
      </c>
      <c r="K89" s="238" t="n">
        <v>34</v>
      </c>
      <c r="L89" s="239" t="n">
        <v>762864</v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 t="n">
        <v>0.580884</v>
      </c>
      <c r="G90" s="236" t="n">
        <v>1525.3</v>
      </c>
      <c r="H90" s="238" t="n">
        <v>105489748</v>
      </c>
      <c r="I90" s="238" t="n">
        <v>17720</v>
      </c>
      <c r="J90" s="238" t="n">
        <v>7261</v>
      </c>
      <c r="K90" s="238" t="n">
        <v>4647</v>
      </c>
      <c r="L90" s="239" t="n">
        <v>105519376</v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 t="n">
        <v>0.414917</v>
      </c>
      <c r="G91" s="236" t="n">
        <v>1525.3</v>
      </c>
      <c r="H91" s="238" t="n">
        <v>75349820</v>
      </c>
      <c r="I91" s="238" t="n">
        <v>12657</v>
      </c>
      <c r="J91" s="238" t="n">
        <v>5186</v>
      </c>
      <c r="K91" s="238" t="n">
        <v>3319</v>
      </c>
      <c r="L91" s="239" t="n">
        <v>75370982</v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</v>
      </c>
      <c r="O16" s="281" t="n">
        <v>336629315</v>
      </c>
      <c r="P16" s="276" t="inlineStr">
        <is>
          <t>6/16 만기 상환 완료 (외국환 거래표 2026-06-16, REF M88JX2510NU00018). 원금 USD 221,868.99 → 원화 336,629,315 (적용환율 1,517.20). 미결제잔액 USD 0.00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2026-06-16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2026-06-16T06:18:56Z</dcterms:modified>
  <cp:lastModifiedBy>원석 도</cp:lastModifiedBy>
  <cp:revision>0</cp:revision>
</cp:coreProperties>
</file>