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80" windowWidth="36000" windowHeight="22600" tabRatio="500" firstSheet="0" activeTab="5" autoFilterDateGrouping="1"/>
  </bookViews>
  <sheets>
    <sheet xmlns:r="http://schemas.openxmlformats.org/officeDocument/2006/relationships" name="PO별 개당 수입원가" sheetId="1" state="visible" r:id="rId1"/>
    <sheet xmlns:r="http://schemas.openxmlformats.org/officeDocument/2006/relationships" name="라이센스_워런티" sheetId="2" state="visible" r:id="rId2"/>
    <sheet xmlns:r="http://schemas.openxmlformats.org/officeDocument/2006/relationships" name="합배송_비용안분" sheetId="3" state="visible" r:id="rId3"/>
    <sheet xmlns:r="http://schemas.openxmlformats.org/officeDocument/2006/relationships" name="외화송금내역" sheetId="4" state="visible" r:id="rId4"/>
    <sheet xmlns:r="http://schemas.openxmlformats.org/officeDocument/2006/relationships" name="Usance_LC" sheetId="5" state="visible" r:id="rId5"/>
    <sheet xmlns:r="http://schemas.openxmlformats.org/officeDocument/2006/relationships" name="환율" sheetId="6" state="visible" r:id="rId6"/>
  </sheets>
  <definedNames>
    <definedName name="FxRateTable">'환율'!$A$7:$D$45</definedName>
    <definedName name="RemitTable1">'외화송금내역'!$A$3:$L$40</definedName>
    <definedName name="RemitTable2">'외화송금내역'!$A$43:$L$97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yyyy\-mm\-dd"/>
    <numFmt numFmtId="165" formatCode="#,##0.0"/>
    <numFmt numFmtId="166" formatCode="0.0%"/>
    <numFmt numFmtId="167" formatCode="0&quot;일&quot;"/>
    <numFmt numFmtId="168" formatCode="yyyy-mm-dd h:mm:ss"/>
    <numFmt numFmtId="169" formatCode="yyyy-mm-dd"/>
    <numFmt numFmtId="170" formatCode="0.0"/>
    <numFmt numFmtId="171" formatCode="0.00000"/>
  </numFmts>
  <fonts count="27">
    <font>
      <name val="맑은 고딕"/>
      <charset val="129"/>
      <family val="2"/>
      <color theme="1"/>
      <sz val="11"/>
    </font>
    <font>
      <name val="맑은 고딕"/>
      <charset val="129"/>
      <family val="2"/>
      <b val="1"/>
      <sz val="11"/>
    </font>
    <font>
      <name val="맑은 고딕"/>
      <charset val="129"/>
      <family val="2"/>
      <b val="1"/>
      <sz val="9"/>
    </font>
    <font>
      <name val="맑은 고딕"/>
      <charset val="129"/>
      <family val="2"/>
      <sz val="9"/>
    </font>
    <font>
      <name val="맑은 고딕"/>
      <charset val="129"/>
      <family val="2"/>
      <b val="1"/>
      <color rgb="FFFFFFFF"/>
      <sz val="9"/>
    </font>
    <font>
      <name val="맑은 고딕"/>
      <charset val="129"/>
      <family val="2"/>
      <color theme="1"/>
      <sz val="11"/>
    </font>
    <font>
      <name val="맑은 고딕"/>
      <charset val="129"/>
      <family val="2"/>
      <sz val="8"/>
    </font>
    <font>
      <name val="맑은 고딕"/>
      <charset val="129"/>
      <family val="2"/>
      <sz val="11"/>
    </font>
    <font>
      <name val="맑은 고딕"/>
      <charset val="129"/>
      <family val="2"/>
      <b val="1"/>
      <color theme="1"/>
      <sz val="11"/>
    </font>
    <font>
      <name val="맑은 고딕"/>
      <charset val="129"/>
      <family val="2"/>
      <i val="1"/>
      <color rgb="FF888888"/>
      <sz val="8"/>
    </font>
    <font>
      <name val="맑은 고딕"/>
      <charset val="129"/>
      <family val="2"/>
      <b val="1"/>
      <color theme="1"/>
      <sz val="9"/>
    </font>
    <font>
      <name val="맑은 고딕"/>
      <charset val="129"/>
      <family val="2"/>
      <color theme="1"/>
      <sz val="9"/>
    </font>
    <font>
      <name val="맑은 고딕"/>
      <charset val="129"/>
      <family val="2"/>
      <b val="1"/>
      <color rgb="FF2E7D32"/>
      <sz val="9"/>
    </font>
    <font>
      <name val="맑은 고딕"/>
      <charset val="129"/>
      <family val="2"/>
      <color rgb="FF999999"/>
      <sz val="9"/>
    </font>
    <font>
      <name val="맑은 고딕"/>
      <charset val="129"/>
      <family val="2"/>
      <color rgb="FF666666"/>
      <sz val="8"/>
    </font>
    <font>
      <name val="맑은 고딕"/>
      <charset val="129"/>
      <family val="2"/>
      <color rgb="FF888888"/>
      <sz val="8"/>
    </font>
    <font>
      <name val="맑은 고딕"/>
      <charset val="129"/>
      <sz val="9"/>
    </font>
    <font>
      <name val="맑은 고딕"/>
      <charset val="129"/>
      <b val="1"/>
      <sz val="11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sz val="9"/>
    </font>
    <font>
      <name val="맑은 고딕"/>
      <charset val="129"/>
      <b val="1"/>
      <sz val="9"/>
    </font>
    <font>
      <name val="맑은 고딕"/>
      <charset val="129"/>
      <b val="1"/>
      <color rgb="FFFFFFFF"/>
      <sz val="9"/>
    </font>
    <font>
      <name val="맑은 고딕"/>
      <b val="1"/>
      <color rgb="000563C1"/>
      <sz val="11"/>
      <u val="single"/>
    </font>
    <font>
      <name val="맑은 고딕"/>
      <color theme="1"/>
      <sz val="9"/>
    </font>
    <font>
      <name val="맑은 고딕"/>
      <b val="1"/>
      <sz val="9"/>
    </font>
    <font>
      <name val="맑은 고딕"/>
      <sz val="9"/>
    </font>
  </fonts>
  <fills count="21">
    <fill>
      <patternFill/>
    </fill>
    <fill>
      <patternFill patternType="gray125"/>
    </fill>
    <fill>
      <patternFill patternType="solid">
        <fgColor rgb="FFD6E4F0"/>
        <bgColor rgb="FFE2EFDA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8D5F5"/>
        <bgColor rgb="FFD6E4F0"/>
      </patternFill>
    </fill>
    <fill>
      <patternFill patternType="solid">
        <fgColor rgb="FFFCE4D6"/>
        <bgColor rgb="FFFFF2CC"/>
      </patternFill>
    </fill>
    <fill>
      <patternFill patternType="solid">
        <fgColor rgb="FF2F5496"/>
        <bgColor rgb="FF2E75B6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E8D5F5"/>
        <bgColor rgb="FFE8D5F5"/>
      </patternFill>
    </fill>
    <fill>
      <patternFill patternType="solid">
        <fgColor rgb="FFE2EFDA"/>
        <bgColor rgb="FFE2EFDA"/>
      </patternFill>
    </fill>
    <fill>
      <patternFill patternType="solid">
        <fgColor rgb="FFFFFFFF"/>
      </patternFill>
    </fill>
    <fill>
      <patternFill patternType="solid">
        <fgColor rgb="FFE2EFDA"/>
      </patternFill>
    </fill>
    <fill>
      <patternFill patternType="solid">
        <fgColor rgb="FFE8D5F5"/>
      </patternFill>
    </fill>
    <fill>
      <patternFill patternType="solid">
        <fgColor rgb="FFD6E4F0"/>
      </patternFill>
    </fill>
    <fill>
      <patternFill patternType="solid">
        <fgColor rgb="FF1F3864"/>
      </patternFill>
    </fill>
    <fill>
      <patternFill patternType="solid">
        <fgColor rgb="FFF2F2F2"/>
        <bgColor rgb="FFF2F2F2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6E4F0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/>
      <right style="thin"/>
      <top style="thin"/>
      <bottom style="thin"/>
    </border>
    <border/>
  </borders>
  <cellStyleXfs count="1">
    <xf numFmtId="0" fontId="5" fillId="0" borderId="0"/>
  </cellStyleXfs>
  <cellXfs count="310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4" fontId="2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right" vertical="center"/>
    </xf>
    <xf numFmtId="3" fontId="3" fillId="3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right" vertical="center"/>
    </xf>
    <xf numFmtId="165" fontId="3" fillId="4" borderId="1" applyAlignment="1" pivotButton="0" quotePrefix="0" xfId="0">
      <alignment horizontal="center" vertical="center"/>
    </xf>
    <xf numFmtId="3" fontId="3" fillId="4" borderId="1" applyAlignment="1" pivotButton="0" quotePrefix="0" xfId="0">
      <alignment horizontal="right" vertical="center"/>
    </xf>
    <xf numFmtId="3" fontId="3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right" vertical="center"/>
    </xf>
    <xf numFmtId="165" fontId="3" fillId="5" borderId="1" applyAlignment="1" pivotButton="0" quotePrefix="0" xfId="0">
      <alignment horizontal="center" vertical="center"/>
    </xf>
    <xf numFmtId="3" fontId="3" fillId="5" borderId="1" applyAlignment="1" pivotButton="0" quotePrefix="0" xfId="0">
      <alignment horizontal="right" vertical="center"/>
    </xf>
    <xf numFmtId="3" fontId="3" fillId="5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166" fontId="3" fillId="3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center" vertical="center"/>
    </xf>
    <xf numFmtId="166" fontId="3" fillId="6" borderId="1" applyAlignment="1" pivotButton="0" quotePrefix="0" xfId="0">
      <alignment horizontal="right" vertical="center"/>
    </xf>
    <xf numFmtId="3" fontId="3" fillId="6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right" vertical="center"/>
    </xf>
    <xf numFmtId="3" fontId="3" fillId="0" borderId="1" applyAlignment="1" pivotButton="0" quotePrefix="0" xfId="0">
      <alignment horizontal="right" vertical="center" wrapText="1"/>
    </xf>
    <xf numFmtId="0" fontId="5" fillId="0" borderId="0" pivotButton="0" quotePrefix="0" xfId="0"/>
    <xf numFmtId="3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7" fillId="0" borderId="0" pivotButton="0" quotePrefix="0" xfId="0"/>
    <xf numFmtId="0" fontId="5" fillId="0" borderId="0" applyAlignment="1" pivotButton="0" quotePrefix="0" xfId="0">
      <alignment vertical="center"/>
    </xf>
    <xf numFmtId="4" fontId="3" fillId="3" borderId="1" applyAlignment="1" pivotButton="0" quotePrefix="0" xfId="0">
      <alignment horizontal="right" vertical="center" wrapText="1"/>
    </xf>
    <xf numFmtId="4" fontId="3" fillId="6" borderId="1" applyAlignment="1" pivotButton="0" quotePrefix="0" xfId="0">
      <alignment horizontal="right" vertical="center" wrapText="1"/>
    </xf>
    <xf numFmtId="0" fontId="5" fillId="0" borderId="0" applyAlignment="1" pivotButton="0" quotePrefix="0" xfId="0">
      <alignment horizontal="center" vertical="center" wrapText="1"/>
    </xf>
    <xf numFmtId="0" fontId="4" fillId="7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3" fontId="11" fillId="0" borderId="2" applyAlignment="1" pivotButton="0" quotePrefix="0" xfId="0">
      <alignment horizontal="right" vertical="center"/>
    </xf>
    <xf numFmtId="0" fontId="12" fillId="0" borderId="2" applyAlignment="1" pivotButton="0" quotePrefix="0" xfId="0">
      <alignment horizontal="center" vertical="center"/>
    </xf>
    <xf numFmtId="0" fontId="11" fillId="0" borderId="2" applyAlignment="1" pivotButton="0" quotePrefix="0" xfId="0">
      <alignment horizontal="left" vertical="center"/>
    </xf>
    <xf numFmtId="0" fontId="13" fillId="0" borderId="2" applyAlignment="1" pivotButton="0" quotePrefix="0" xfId="0">
      <alignment horizontal="center" vertical="center"/>
    </xf>
    <xf numFmtId="3" fontId="13" fillId="0" borderId="2" applyAlignment="1" pivotButton="0" quotePrefix="0" xfId="0">
      <alignment horizontal="right" vertical="center"/>
    </xf>
    <xf numFmtId="0" fontId="13" fillId="0" borderId="2" applyAlignment="1" pivotButton="0" quotePrefix="0" xfId="0">
      <alignment horizontal="left" vertical="center"/>
    </xf>
    <xf numFmtId="0" fontId="10" fillId="2" borderId="2" applyAlignment="1" pivotButton="0" quotePrefix="0" xfId="0">
      <alignment horizontal="center" vertical="center"/>
    </xf>
    <xf numFmtId="3" fontId="10" fillId="2" borderId="2" applyAlignment="1" pivotButton="0" quotePrefix="0" xfId="0">
      <alignment horizontal="right" vertical="center"/>
    </xf>
    <xf numFmtId="0" fontId="5" fillId="2" borderId="2" pivotButton="0" quotePrefix="0" xfId="0"/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left" vertical="center" wrapText="1"/>
    </xf>
    <xf numFmtId="0" fontId="10" fillId="2" borderId="1" applyAlignment="1" pivotButton="0" quotePrefix="0" xfId="0">
      <alignment horizontal="right" vertical="center"/>
    </xf>
    <xf numFmtId="0" fontId="11" fillId="0" borderId="1" applyAlignment="1" pivotButton="0" quotePrefix="0" xfId="0">
      <alignment horizontal="center" vertical="center"/>
    </xf>
    <xf numFmtId="4" fontId="11" fillId="0" borderId="1" applyAlignment="1" pivotButton="0" quotePrefix="0" xfId="0">
      <alignment horizontal="center" vertical="center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3" fontId="11" fillId="0" borderId="1" applyAlignment="1" pivotButton="0" quotePrefix="0" xfId="0">
      <alignment horizontal="center" vertical="center"/>
    </xf>
    <xf numFmtId="4" fontId="10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165" fontId="11" fillId="0" borderId="1" applyAlignment="1" pivotButton="0" quotePrefix="0" xfId="0">
      <alignment horizontal="right" vertical="center"/>
    </xf>
    <xf numFmtId="3" fontId="11" fillId="0" borderId="1" applyAlignment="1" pivotButton="0" quotePrefix="0" xfId="0">
      <alignment horizontal="right" vertical="center"/>
    </xf>
    <xf numFmtId="4" fontId="11" fillId="0" borderId="1" applyAlignment="1" pivotButton="0" quotePrefix="0" xfId="0">
      <alignment horizontal="right" vertical="center"/>
    </xf>
    <xf numFmtId="2" fontId="5" fillId="0" borderId="0" applyAlignment="1" pivotButton="0" quotePrefix="0" xfId="0">
      <alignment horizontal="center" vertical="center"/>
    </xf>
    <xf numFmtId="3" fontId="5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/>
    </xf>
    <xf numFmtId="0" fontId="11" fillId="0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/>
    </xf>
    <xf numFmtId="4" fontId="3" fillId="5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/>
    </xf>
    <xf numFmtId="0" fontId="16" fillId="0" borderId="5" applyAlignment="1" pivotButton="0" quotePrefix="0" xfId="0">
      <alignment horizontal="center" vertical="center" wrapText="1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right" vertical="center" wrapText="1"/>
    </xf>
    <xf numFmtId="165" fontId="16" fillId="0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right" vertical="center" wrapText="1"/>
    </xf>
    <xf numFmtId="3" fontId="16" fillId="9" borderId="5" applyAlignment="1" pivotButton="0" quotePrefix="0" xfId="0">
      <alignment horizontal="right" vertical="center" wrapText="1"/>
    </xf>
    <xf numFmtId="3" fontId="16" fillId="0" borderId="5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right" vertical="center" wrapText="1"/>
    </xf>
    <xf numFmtId="165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right" vertical="center" wrapText="1"/>
    </xf>
    <xf numFmtId="3" fontId="16" fillId="10" borderId="5" applyAlignment="1" pivotButton="0" quotePrefix="0" xfId="0">
      <alignment horizontal="center" vertical="center" wrapText="1"/>
    </xf>
    <xf numFmtId="0" fontId="16" fillId="3" borderId="1" applyAlignment="1" pivotButton="0" quotePrefix="0" xfId="0">
      <alignment horizontal="center" vertical="center"/>
    </xf>
    <xf numFmtId="4" fontId="16" fillId="3" borderId="1" applyAlignment="1" pivotButton="0" quotePrefix="0" xfId="0">
      <alignment horizontal="right" vertical="center" wrapText="1"/>
    </xf>
    <xf numFmtId="166" fontId="16" fillId="3" borderId="1" applyAlignment="1" pivotButton="0" quotePrefix="0" xfId="0">
      <alignment horizontal="right" vertical="center"/>
    </xf>
    <xf numFmtId="3" fontId="16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 wrapText="1"/>
    </xf>
    <xf numFmtId="4" fontId="16" fillId="0" borderId="1" applyAlignment="1" pivotButton="0" quotePrefix="0" xfId="0">
      <alignment horizontal="center" vertical="center"/>
    </xf>
    <xf numFmtId="3" fontId="16" fillId="0" borderId="1" applyAlignment="1" pivotButton="0" quotePrefix="0" xfId="0">
      <alignment horizontal="right" vertical="center"/>
    </xf>
    <xf numFmtId="3" fontId="16" fillId="0" borderId="1" applyAlignment="1" pivotButton="0" quotePrefix="0" xfId="0">
      <alignment horizontal="right" vertical="center" wrapText="1"/>
    </xf>
    <xf numFmtId="0" fontId="3" fillId="8" borderId="1" applyAlignment="1" pivotButton="0" quotePrefix="0" xfId="0">
      <alignment horizontal="center" vertical="center" wrapText="1"/>
    </xf>
    <xf numFmtId="4" fontId="3" fillId="8" borderId="1" applyAlignment="1" pivotButton="0" quotePrefix="0" xfId="0">
      <alignment horizontal="right" vertical="center" wrapText="1"/>
    </xf>
    <xf numFmtId="0" fontId="16" fillId="8" borderId="1" applyAlignment="1" pivotButton="0" quotePrefix="0" xfId="0">
      <alignment horizontal="center" vertical="center"/>
    </xf>
    <xf numFmtId="0" fontId="16" fillId="8" borderId="1" applyAlignment="1" pivotButton="0" quotePrefix="0" xfId="0">
      <alignment horizontal="center" vertical="center" wrapText="1"/>
    </xf>
    <xf numFmtId="4" fontId="16" fillId="8" borderId="1" applyAlignment="1" pivotButton="0" quotePrefix="0" xfId="0">
      <alignment horizontal="right" vertical="center" wrapText="1"/>
    </xf>
    <xf numFmtId="164" fontId="16" fillId="8" borderId="1" applyAlignment="1" pivotButton="0" quotePrefix="0" xfId="0">
      <alignment horizontal="center" vertical="center"/>
    </xf>
    <xf numFmtId="165" fontId="16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10" fontId="16" fillId="0" borderId="1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5" fontId="16" fillId="0" borderId="5" applyAlignment="1" pivotButton="0" quotePrefix="0" xfId="0">
      <alignment horizontal="center" vertical="center"/>
    </xf>
    <xf numFmtId="165" fontId="16" fillId="10" borderId="5" applyAlignment="1" pivotButton="0" quotePrefix="0" xfId="0">
      <alignment horizontal="center" vertical="center"/>
    </xf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18" fillId="0" borderId="1" applyAlignment="1" pivotButton="0" quotePrefix="0" xfId="0">
      <alignment horizontal="center" vertical="center"/>
    </xf>
    <xf numFmtId="0" fontId="18" fillId="0" borderId="1" applyAlignment="1" pivotButton="0" quotePrefix="0" xfId="0">
      <alignment horizontal="center" vertical="center" wrapText="1"/>
    </xf>
    <xf numFmtId="4" fontId="18" fillId="0" borderId="1" applyAlignment="1" pivotButton="0" quotePrefix="0" xfId="0">
      <alignment horizontal="center" vertical="center"/>
    </xf>
    <xf numFmtId="165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/>
    </xf>
    <xf numFmtId="3" fontId="18" fillId="0" borderId="1" applyAlignment="1" pivotButton="0" quotePrefix="0" xfId="0">
      <alignment horizontal="right" vertical="center" wrapText="1"/>
    </xf>
    <xf numFmtId="10" fontId="18" fillId="0" borderId="1" applyAlignment="1" pivotButton="0" quotePrefix="0" xfId="0">
      <alignment horizontal="right" vertical="center"/>
    </xf>
    <xf numFmtId="3" fontId="3" fillId="11" borderId="1" applyAlignment="1" pivotButton="0" quotePrefix="0" xfId="0">
      <alignment horizontal="right" vertical="center"/>
    </xf>
    <xf numFmtId="0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4" fontId="20" fillId="12" borderId="6" applyAlignment="1" pivotButton="0" quotePrefix="0" xfId="0">
      <alignment horizontal="right" vertical="center"/>
    </xf>
    <xf numFmtId="165" fontId="20" fillId="12" borderId="6" applyAlignment="1" pivotButton="0" quotePrefix="0" xfId="0">
      <alignment horizontal="right" vertical="center"/>
    </xf>
    <xf numFmtId="3" fontId="20" fillId="12" borderId="6" applyAlignment="1" pivotButton="0" quotePrefix="0" xfId="0">
      <alignment horizontal="right" vertical="center"/>
    </xf>
    <xf numFmtId="0" fontId="20" fillId="12" borderId="6" applyAlignment="1" pivotButton="0" quotePrefix="0" xfId="0">
      <alignment horizontal="right" vertical="center"/>
    </xf>
    <xf numFmtId="164" fontId="20" fillId="12" borderId="6" applyAlignment="1" pivotButton="0" quotePrefix="0" xfId="0">
      <alignment horizontal="right" vertical="center"/>
    </xf>
    <xf numFmtId="3" fontId="20" fillId="13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4" fontId="20" fillId="14" borderId="6" applyAlignment="1" pivotButton="0" quotePrefix="0" xfId="0">
      <alignment horizontal="right" vertical="center"/>
    </xf>
    <xf numFmtId="165" fontId="20" fillId="14" borderId="6" applyAlignment="1" pivotButton="0" quotePrefix="0" xfId="0">
      <alignment horizontal="right" vertical="center"/>
    </xf>
    <xf numFmtId="3" fontId="20" fillId="14" borderId="6" applyAlignment="1" pivotButton="0" quotePrefix="0" xfId="0">
      <alignment horizontal="right" vertical="center"/>
    </xf>
    <xf numFmtId="0" fontId="20" fillId="14" borderId="6" applyAlignment="1" pivotButton="0" quotePrefix="0" xfId="0">
      <alignment horizontal="right" vertical="center"/>
    </xf>
    <xf numFmtId="164" fontId="20" fillId="14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4" fontId="21" fillId="15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right" vertical="center"/>
    </xf>
    <xf numFmtId="3" fontId="21" fillId="15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center" vertical="center"/>
    </xf>
    <xf numFmtId="4" fontId="22" fillId="16" borderId="6" applyAlignment="1" pivotButton="0" quotePrefix="0" xfId="0">
      <alignment horizontal="right" vertical="center"/>
    </xf>
    <xf numFmtId="0" fontId="22" fillId="16" borderId="6" applyAlignment="1" pivotButton="0" quotePrefix="0" xfId="0">
      <alignment horizontal="right" vertical="center"/>
    </xf>
    <xf numFmtId="3" fontId="22" fillId="16" borderId="6" applyAlignment="1" pivotButton="0" quotePrefix="0" xfId="0">
      <alignment horizontal="right" vertical="center"/>
    </xf>
    <xf numFmtId="0" fontId="21" fillId="15" borderId="6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8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3" pivotButton="0" quotePrefix="0" xfId="0"/>
    <xf numFmtId="0" fontId="0" fillId="0" borderId="4" pivotButton="0" quotePrefix="0" xfId="0"/>
    <xf numFmtId="0" fontId="1" fillId="2" borderId="1" applyAlignment="1" pivotButton="0" quotePrefix="0" xfId="0">
      <alignment horizontal="center" vertical="center" wrapText="1"/>
    </xf>
    <xf numFmtId="0" fontId="22" fillId="16" borderId="6" applyAlignment="1" pivotButton="0" quotePrefix="0" xfId="0">
      <alignment horizontal="center" vertical="center"/>
    </xf>
    <xf numFmtId="3" fontId="2" fillId="2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left" vertical="center"/>
    </xf>
    <xf numFmtId="0" fontId="5" fillId="0" borderId="0" pivotButton="0" quotePrefix="0" xfId="0"/>
    <xf numFmtId="0" fontId="8" fillId="2" borderId="1" applyAlignment="1" pivotButton="0" quotePrefix="0" xfId="0">
      <alignment horizontal="center" vertical="center" wrapText="1"/>
    </xf>
    <xf numFmtId="0" fontId="10" fillId="0" borderId="0" pivotButton="0" quotePrefix="0" xfId="0"/>
    <xf numFmtId="0" fontId="9" fillId="0" borderId="0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center" vertical="center"/>
    </xf>
    <xf numFmtId="0" fontId="15" fillId="0" borderId="1" applyAlignment="1" pivotButton="0" quotePrefix="0" xfId="0">
      <alignment vertical="center"/>
    </xf>
    <xf numFmtId="0" fontId="15" fillId="0" borderId="1" applyAlignment="1" pivotButton="0" quotePrefix="0" xfId="0">
      <alignment horizontal="left" vertical="center"/>
    </xf>
    <xf numFmtId="3" fontId="20" fillId="12" borderId="6" applyAlignment="1" pivotButton="0" quotePrefix="0" xfId="0">
      <alignment horizontal="center" vertical="center"/>
    </xf>
    <xf numFmtId="3" fontId="20" fillId="14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 wrapText="1"/>
    </xf>
    <xf numFmtId="0" fontId="6" fillId="2" borderId="6" applyAlignment="1" pivotButton="0" quotePrefix="0" xfId="0">
      <alignment horizontal="center" vertical="center" wrapText="1"/>
    </xf>
    <xf numFmtId="0" fontId="2" fillId="2" borderId="6" applyAlignment="1" pivotButton="0" quotePrefix="0" xfId="0">
      <alignment horizontal="center" vertical="center" wrapText="1"/>
    </xf>
    <xf numFmtId="3" fontId="2" fillId="2" borderId="6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 vertical="center"/>
    </xf>
    <xf numFmtId="164" fontId="3" fillId="4" borderId="1" applyAlignment="1" pivotButton="0" quotePrefix="0" xfId="0">
      <alignment horizontal="center" vertical="center" wrapText="1"/>
    </xf>
    <xf numFmtId="164" fontId="3" fillId="4" borderId="1" applyAlignment="1" pivotButton="0" quotePrefix="0" xfId="0">
      <alignment horizontal="center" vertical="center"/>
    </xf>
    <xf numFmtId="4" fontId="3" fillId="4" borderId="1" applyAlignment="1" pivotButton="0" quotePrefix="0" xfId="0">
      <alignment horizontal="center" vertical="center"/>
    </xf>
    <xf numFmtId="164" fontId="16" fillId="0" borderId="5" applyAlignment="1" pivotButton="0" quotePrefix="0" xfId="0">
      <alignment horizontal="center" vertical="center" wrapText="1"/>
    </xf>
    <xf numFmtId="4" fontId="16" fillId="0" borderId="5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center" vertical="center"/>
    </xf>
    <xf numFmtId="164" fontId="20" fillId="12" borderId="6" applyAlignment="1" pivotButton="0" quotePrefix="0" xfId="0">
      <alignment horizontal="right" vertical="center"/>
    </xf>
    <xf numFmtId="164" fontId="3" fillId="5" borderId="1" applyAlignment="1" pivotButton="0" quotePrefix="0" xfId="0">
      <alignment horizontal="center" vertical="center" wrapText="1"/>
    </xf>
    <xf numFmtId="164" fontId="3" fillId="5" borderId="1" applyAlignment="1" pivotButton="0" quotePrefix="0" xfId="0">
      <alignment horizontal="center" vertical="center"/>
    </xf>
    <xf numFmtId="4" fontId="3" fillId="5" borderId="1" applyAlignment="1" pivotButton="0" quotePrefix="0" xfId="0">
      <alignment horizontal="center" vertical="center"/>
    </xf>
    <xf numFmtId="164" fontId="16" fillId="10" borderId="5" applyAlignment="1" pivotButton="0" quotePrefix="0" xfId="0">
      <alignment horizontal="center" vertical="center" wrapText="1"/>
    </xf>
    <xf numFmtId="4" fontId="16" fillId="10" borderId="5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center" vertical="center"/>
    </xf>
    <xf numFmtId="164" fontId="20" fillId="14" borderId="6" applyAlignment="1" pivotButton="0" quotePrefix="0" xfId="0">
      <alignment horizontal="right" vertical="center"/>
    </xf>
    <xf numFmtId="164" fontId="3" fillId="8" borderId="1" applyAlignment="1" pivotButton="0" quotePrefix="0" xfId="0">
      <alignment horizontal="center" vertical="center"/>
    </xf>
    <xf numFmtId="164" fontId="16" fillId="8" borderId="1" applyAlignment="1" pivotButton="0" quotePrefix="0" xfId="0">
      <alignment horizontal="center" vertical="center"/>
    </xf>
    <xf numFmtId="0" fontId="15" fillId="0" borderId="6" applyAlignment="1" pivotButton="0" quotePrefix="0" xfId="0">
      <alignment horizontal="center" vertical="center" wrapText="1"/>
    </xf>
    <xf numFmtId="166" fontId="3" fillId="3" borderId="1" applyAlignment="1" pivotButton="0" quotePrefix="0" xfId="0">
      <alignment horizontal="right" vertical="center"/>
    </xf>
    <xf numFmtId="166" fontId="3" fillId="6" borderId="1" applyAlignment="1" pivotButton="0" quotePrefix="0" xfId="0">
      <alignment horizontal="right" vertical="center"/>
    </xf>
    <xf numFmtId="166" fontId="16" fillId="3" borderId="1" applyAlignment="1" pivotButton="0" quotePrefix="0" xfId="0">
      <alignment horizontal="right" vertical="center"/>
    </xf>
    <xf numFmtId="4" fontId="16" fillId="0" borderId="1" applyAlignment="1" pivotButton="0" quotePrefix="0" xfId="0">
      <alignment horizontal="right" vertical="center"/>
    </xf>
    <xf numFmtId="4" fontId="18" fillId="0" borderId="1" applyAlignment="1" pivotButton="0" quotePrefix="0" xfId="0">
      <alignment horizontal="right" vertical="center"/>
    </xf>
    <xf numFmtId="0" fontId="8" fillId="2" borderId="6" applyAlignment="1" pivotButton="0" quotePrefix="0" xfId="0">
      <alignment horizontal="center" vertical="center" wrapText="1"/>
    </xf>
    <xf numFmtId="0" fontId="10" fillId="2" borderId="6" applyAlignment="1" pivotButton="0" quotePrefix="0" xfId="0">
      <alignment horizontal="center" vertical="center" wrapText="1"/>
    </xf>
    <xf numFmtId="167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center" vertical="center"/>
    </xf>
    <xf numFmtId="165" fontId="11" fillId="0" borderId="1" applyAlignment="1" pivotButton="0" quotePrefix="0" xfId="0">
      <alignment horizontal="right" vertical="center"/>
    </xf>
    <xf numFmtId="0" fontId="1" fillId="2" borderId="6" applyAlignment="1" pivotButton="0" quotePrefix="0" xfId="0">
      <alignment horizontal="center" vertical="center"/>
    </xf>
    <xf numFmtId="0" fontId="15" fillId="0" borderId="6" applyAlignment="1" pivotButton="0" quotePrefix="0" xfId="0">
      <alignment horizontal="left" vertical="center"/>
    </xf>
    <xf numFmtId="0" fontId="15" fillId="0" borderId="6" applyAlignment="1" pivotButton="0" quotePrefix="0" xfId="0">
      <alignment vertical="center"/>
    </xf>
    <xf numFmtId="0" fontId="23" fillId="2" borderId="6" applyAlignment="1" pivotButton="0" quotePrefix="0" xfId="0">
      <alignment horizontal="center" vertical="center" wrapText="1"/>
    </xf>
    <xf numFmtId="0" fontId="3" fillId="0" borderId="6" applyAlignment="1" pivotButton="0" quotePrefix="0" xfId="0">
      <alignment horizontal="center" vertical="center"/>
    </xf>
    <xf numFmtId="0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 wrapText="1"/>
    </xf>
    <xf numFmtId="164" fontId="3" fillId="0" borderId="6" applyAlignment="1" pivotButton="0" quotePrefix="0" xfId="0">
      <alignment horizontal="center" vertical="center"/>
    </xf>
    <xf numFmtId="4" fontId="3" fillId="0" borderId="6" applyAlignment="1" pivotButton="0" quotePrefix="0" xfId="0">
      <alignment horizontal="right" vertical="center"/>
    </xf>
    <xf numFmtId="4" fontId="3" fillId="0" borderId="6" applyAlignment="1" pivotButton="0" quotePrefix="0" xfId="0">
      <alignment horizontal="center" vertical="center"/>
    </xf>
    <xf numFmtId="3" fontId="3" fillId="0" borderId="6" applyAlignment="1" pivotButton="0" quotePrefix="0" xfId="0">
      <alignment horizontal="right" vertical="center"/>
    </xf>
    <xf numFmtId="3" fontId="3" fillId="11" borderId="6" applyAlignment="1" pivotButton="0" quotePrefix="0" xfId="0">
      <alignment horizontal="right" vertical="center"/>
    </xf>
    <xf numFmtId="3" fontId="3" fillId="0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/>
    </xf>
    <xf numFmtId="0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 wrapText="1"/>
    </xf>
    <xf numFmtId="164" fontId="3" fillId="17" borderId="6" applyAlignment="1" pivotButton="0" quotePrefix="0" xfId="0">
      <alignment horizontal="center" vertical="center"/>
    </xf>
    <xf numFmtId="4" fontId="3" fillId="17" borderId="6" applyAlignment="1" pivotButton="0" quotePrefix="0" xfId="0">
      <alignment horizontal="right" vertical="center"/>
    </xf>
    <xf numFmtId="4" fontId="3" fillId="17" borderId="6" applyAlignment="1" pivotButton="0" quotePrefix="0" xfId="0">
      <alignment horizontal="center" vertical="center"/>
    </xf>
    <xf numFmtId="3" fontId="3" fillId="17" borderId="6" applyAlignment="1" pivotButton="0" quotePrefix="0" xfId="0">
      <alignment horizontal="right" vertical="center"/>
    </xf>
    <xf numFmtId="3" fontId="3" fillId="17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/>
    </xf>
    <xf numFmtId="0" fontId="20" fillId="10" borderId="6" applyAlignment="1" pivotButton="0" quotePrefix="0" xfId="0">
      <alignment horizontal="center" vertical="center" wrapText="1"/>
    </xf>
    <xf numFmtId="4" fontId="20" fillId="10" borderId="6" applyAlignment="1" pivotButton="0" quotePrefix="0" xfId="0">
      <alignment horizontal="right" vertical="center" wrapText="1"/>
    </xf>
    <xf numFmtId="164" fontId="20" fillId="10" borderId="6" applyAlignment="1" pivotButton="0" quotePrefix="0" xfId="0">
      <alignment horizontal="center" vertical="center"/>
    </xf>
    <xf numFmtId="0" fontId="20" fillId="0" borderId="0" pivotButton="0" quotePrefix="0" xfId="0"/>
    <xf numFmtId="0" fontId="20" fillId="3" borderId="6" applyAlignment="1" pivotButton="0" quotePrefix="0" xfId="0">
      <alignment horizontal="center" vertical="center"/>
    </xf>
    <xf numFmtId="4" fontId="20" fillId="3" borderId="6" applyAlignment="1" pivotButton="0" quotePrefix="0" xfId="0">
      <alignment horizontal="right" vertical="center" wrapText="1"/>
    </xf>
    <xf numFmtId="166" fontId="20" fillId="3" borderId="6" applyAlignment="1" pivotButton="0" quotePrefix="0" xfId="0">
      <alignment horizontal="right" vertical="center"/>
    </xf>
    <xf numFmtId="3" fontId="20" fillId="3" borderId="6" applyAlignment="1" pivotButton="0" quotePrefix="0" xfId="0">
      <alignment horizontal="right" vertical="center"/>
    </xf>
    <xf numFmtId="168" fontId="20" fillId="14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/>
    </xf>
    <xf numFmtId="0" fontId="20" fillId="0" borderId="6" applyAlignment="1" pivotButton="0" quotePrefix="0" xfId="0">
      <alignment horizontal="center" vertical="center" wrapText="1"/>
    </xf>
    <xf numFmtId="4" fontId="20" fillId="0" borderId="6" applyAlignment="1" pivotButton="0" quotePrefix="0" xfId="0">
      <alignment horizontal="center" vertical="center"/>
    </xf>
    <xf numFmtId="4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/>
    </xf>
    <xf numFmtId="3" fontId="20" fillId="0" borderId="6" applyAlignment="1" pivotButton="0" quotePrefix="0" xfId="0">
      <alignment horizontal="right" vertical="center" wrapText="1"/>
    </xf>
    <xf numFmtId="10" fontId="20" fillId="0" borderId="6" applyAlignment="1" pivotButton="0" quotePrefix="0" xfId="0">
      <alignment horizontal="right" vertical="center"/>
    </xf>
    <xf numFmtId="0" fontId="3" fillId="3" borderId="6" applyAlignment="1" pivotButton="0" quotePrefix="0" xfId="0">
      <alignment horizontal="center" vertical="center"/>
    </xf>
    <xf numFmtId="4" fontId="3" fillId="3" borderId="6" applyAlignment="1" pivotButton="0" quotePrefix="0" xfId="0">
      <alignment horizontal="right" vertical="center" wrapText="1"/>
    </xf>
    <xf numFmtId="166" fontId="3" fillId="3" borderId="6" applyAlignment="1" pivotButton="0" quotePrefix="0" xfId="0">
      <alignment horizontal="right" vertical="center"/>
    </xf>
    <xf numFmtId="3" fontId="3" fillId="3" borderId="6" applyAlignment="1" pivotButton="0" quotePrefix="0" xfId="0">
      <alignment horizontal="right" vertical="center"/>
    </xf>
    <xf numFmtId="0" fontId="24" fillId="18" borderId="1" applyAlignment="1" pivotButton="0" quotePrefix="0" xfId="0">
      <alignment horizontal="center" vertical="center"/>
    </xf>
    <xf numFmtId="0" fontId="24" fillId="18" borderId="1" applyAlignment="1" pivotButton="0" quotePrefix="0" xfId="0">
      <alignment horizontal="center" vertical="center" wrapText="1"/>
    </xf>
    <xf numFmtId="4" fontId="24" fillId="18" borderId="1" applyAlignment="1" pivotButton="0" quotePrefix="0" xfId="0">
      <alignment horizontal="center" vertical="center"/>
    </xf>
    <xf numFmtId="167" fontId="24" fillId="18" borderId="1" applyAlignment="1" pivotButton="0" quotePrefix="0" xfId="0">
      <alignment horizontal="center" vertical="center"/>
    </xf>
    <xf numFmtId="169" fontId="24" fillId="18" borderId="1" applyAlignment="1" pivotButton="0" quotePrefix="0" xfId="0">
      <alignment horizontal="center" vertical="center"/>
    </xf>
    <xf numFmtId="165" fontId="24" fillId="19" borderId="1" applyAlignment="1" pivotButton="0" quotePrefix="0" xfId="0">
      <alignment horizontal="center" vertical="center"/>
    </xf>
    <xf numFmtId="3" fontId="24" fillId="19" borderId="1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20" borderId="11" applyAlignment="1" pivotButton="0" quotePrefix="0" xfId="0">
      <alignment horizontal="center" vertical="center"/>
    </xf>
    <xf numFmtId="169" fontId="26" fillId="0" borderId="11" applyAlignment="1" pivotButton="0" quotePrefix="0" xfId="0">
      <alignment horizontal="center" vertical="center"/>
    </xf>
    <xf numFmtId="4" fontId="26" fillId="0" borderId="11" applyAlignment="1" pivotButton="0" quotePrefix="0" xfId="0">
      <alignment horizontal="right" vertical="center"/>
    </xf>
    <xf numFmtId="0" fontId="26" fillId="19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left" vertical="center"/>
    </xf>
    <xf numFmtId="2" fontId="25" fillId="20" borderId="11" applyAlignment="1" pivotButton="0" quotePrefix="0" xfId="0">
      <alignment horizontal="center" vertical="center"/>
    </xf>
    <xf numFmtId="3" fontId="25" fillId="20" borderId="11" applyAlignment="1" pivotButton="0" quotePrefix="0" xfId="0">
      <alignment horizontal="center" vertical="center"/>
    </xf>
    <xf numFmtId="0" fontId="26" fillId="0" borderId="11" applyAlignment="1" pivotButton="0" quotePrefix="0" xfId="0">
      <alignment horizontal="left" vertical="center"/>
    </xf>
    <xf numFmtId="170" fontId="26" fillId="0" borderId="11" applyAlignment="1" pivotButton="0" quotePrefix="0" xfId="0">
      <alignment horizontal="center" vertical="center"/>
    </xf>
    <xf numFmtId="2" fontId="26" fillId="0" borderId="11" applyAlignment="1" pivotButton="0" quotePrefix="0" xfId="0">
      <alignment horizontal="center" vertical="center"/>
    </xf>
    <xf numFmtId="3" fontId="26" fillId="0" borderId="11" applyAlignment="1" pivotButton="0" quotePrefix="0" xfId="0">
      <alignment horizontal="right" vertical="center"/>
    </xf>
    <xf numFmtId="0" fontId="26" fillId="20" borderId="11" applyAlignment="1" pivotButton="0" quotePrefix="0" xfId="0">
      <alignment horizontal="center" vertical="center"/>
    </xf>
    <xf numFmtId="0" fontId="26" fillId="20" borderId="11" applyAlignment="1" pivotButton="0" quotePrefix="0" xfId="0">
      <alignment horizontal="left" vertical="center" wrapText="1"/>
    </xf>
    <xf numFmtId="2" fontId="26" fillId="20" borderId="11" applyAlignment="1" pivotButton="0" quotePrefix="0" xfId="0">
      <alignment horizontal="center" vertical="center"/>
    </xf>
    <xf numFmtId="3" fontId="26" fillId="20" borderId="11" applyAlignment="1" pivotButton="0" quotePrefix="0" xfId="0">
      <alignment horizontal="center" vertical="center"/>
    </xf>
    <xf numFmtId="4" fontId="25" fillId="20" borderId="11" applyAlignment="1" pivotButton="0" quotePrefix="0" xfId="0">
      <alignment horizontal="right" vertical="center"/>
    </xf>
    <xf numFmtId="3" fontId="25" fillId="20" borderId="11" applyAlignment="1" pivotButton="0" quotePrefix="0" xfId="0">
      <alignment horizontal="right" vertical="center"/>
    </xf>
    <xf numFmtId="0" fontId="26" fillId="0" borderId="0" applyAlignment="1" pivotButton="0" quotePrefix="0" xfId="0">
      <alignment horizontal="center" vertical="center"/>
    </xf>
    <xf numFmtId="3" fontId="24" fillId="18" borderId="1" applyAlignment="1" pivotButton="0" quotePrefix="0" xfId="0">
      <alignment horizontal="center" vertical="center"/>
    </xf>
    <xf numFmtId="171" fontId="26" fillId="0" borderId="11" applyAlignment="1" pivotButton="0" quotePrefix="0" xfId="0">
      <alignment horizontal="center" vertical="center"/>
    </xf>
    <xf numFmtId="0" fontId="26" fillId="0" borderId="12" applyAlignment="1" pivotButton="0" quotePrefix="0" xfId="0">
      <alignment horizontal="center" vertical="center"/>
    </xf>
    <xf numFmtId="0" fontId="26" fillId="0" borderId="12" pivotButton="0" quotePrefix="0" xfId="0"/>
    <xf numFmtId="0" fontId="24" fillId="18" borderId="6" applyAlignment="1" pivotButton="0" quotePrefix="0" xfId="0">
      <alignment horizontal="center" vertical="center"/>
    </xf>
    <xf numFmtId="0" fontId="24" fillId="18" borderId="6" applyAlignment="1" pivotButton="0" quotePrefix="0" xfId="0">
      <alignment horizontal="center" vertical="center" wrapText="1"/>
    </xf>
    <xf numFmtId="4" fontId="24" fillId="18" borderId="6" applyAlignment="1" pivotButton="0" quotePrefix="0" xfId="0">
      <alignment horizontal="center" vertical="center"/>
    </xf>
    <xf numFmtId="167" fontId="24" fillId="18" borderId="6" applyAlignment="1" pivotButton="0" quotePrefix="0" xfId="0">
      <alignment horizontal="center" vertical="center"/>
    </xf>
    <xf numFmtId="169" fontId="24" fillId="18" borderId="6" applyAlignment="1" pivotButton="0" quotePrefix="0" xfId="0">
      <alignment horizontal="center" vertical="center"/>
    </xf>
    <xf numFmtId="3" fontId="24" fillId="18" borderId="6" applyAlignment="1" pivotButton="0" quotePrefix="0" xfId="0">
      <alignment horizontal="center" vertical="center"/>
    </xf>
    <xf numFmtId="169" fontId="3" fillId="0" borderId="6" applyAlignment="1" pivotButton="0" quotePrefix="0" xfId="0">
      <alignment horizontal="center" vertical="center"/>
    </xf>
    <xf numFmtId="168" fontId="20" fillId="12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/>
    </xf>
    <xf numFmtId="0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 wrapText="1"/>
    </xf>
    <xf numFmtId="164" fontId="3" fillId="4" borderId="6" applyAlignment="1" pivotButton="0" quotePrefix="0" xfId="0">
      <alignment horizontal="center" vertical="center"/>
    </xf>
    <xf numFmtId="4" fontId="3" fillId="4" borderId="6" applyAlignment="1" pivotButton="0" quotePrefix="0" xfId="0">
      <alignment horizontal="right" vertical="center"/>
    </xf>
    <xf numFmtId="4" fontId="3" fillId="4" borderId="6" applyAlignment="1" pivotButton="0" quotePrefix="0" xfId="0">
      <alignment horizontal="center" vertical="center"/>
    </xf>
    <xf numFmtId="3" fontId="3" fillId="4" borderId="6" applyAlignment="1" pivotButton="0" quotePrefix="0" xfId="0">
      <alignment horizontal="right" vertical="center"/>
    </xf>
    <xf numFmtId="3" fontId="3" fillId="4" borderId="6" applyAlignment="1" pivotButton="0" quotePrefix="0" xfId="0">
      <alignment horizontal="center" vertical="center"/>
    </xf>
    <xf numFmtId="0" fontId="3" fillId="6" borderId="6" applyAlignment="1" pivotButton="0" quotePrefix="0" xfId="0">
      <alignment horizontal="center" vertical="center"/>
    </xf>
    <xf numFmtId="4" fontId="3" fillId="6" borderId="6" applyAlignment="1" pivotButton="0" quotePrefix="0" xfId="0">
      <alignment horizontal="right" vertical="center" wrapText="1"/>
    </xf>
    <xf numFmtId="166" fontId="3" fillId="6" borderId="6" applyAlignment="1" pivotButton="0" quotePrefix="0" xfId="0">
      <alignment horizontal="right" vertical="center"/>
    </xf>
    <xf numFmtId="3" fontId="3" fillId="6" borderId="6" applyAlignment="1" pivotButton="0" quotePrefix="0" xfId="0">
      <alignment horizontal="right" vertical="center"/>
    </xf>
    <xf numFmtId="0" fontId="3" fillId="5" borderId="6" applyAlignment="1" pivotButton="0" quotePrefix="0" xfId="0">
      <alignment horizontal="center" vertical="center"/>
    </xf>
    <xf numFmtId="0" fontId="3" fillId="5" borderId="6" applyAlignment="1" pivotButton="0" quotePrefix="0" xfId="0">
      <alignment horizontal="center" vertical="center" wrapText="1"/>
    </xf>
    <xf numFmtId="164" fontId="3" fillId="5" borderId="6" applyAlignment="1" pivotButton="0" quotePrefix="0" xfId="0">
      <alignment horizontal="center" vertical="center" wrapText="1"/>
    </xf>
    <xf numFmtId="164" fontId="3" fillId="5" borderId="6" applyAlignment="1" pivotButton="0" quotePrefix="0" xfId="0">
      <alignment horizontal="center" vertical="center"/>
    </xf>
    <xf numFmtId="4" fontId="3" fillId="5" borderId="6" applyAlignment="1" pivotButton="0" quotePrefix="0" xfId="0">
      <alignment horizontal="right" vertical="center"/>
    </xf>
    <xf numFmtId="4" fontId="3" fillId="5" borderId="6" applyAlignment="1" pivotButton="0" quotePrefix="0" xfId="0">
      <alignment horizontal="center" vertical="center"/>
    </xf>
    <xf numFmtId="3" fontId="3" fillId="5" borderId="6" applyAlignment="1" pivotButton="0" quotePrefix="0" xfId="0">
      <alignment horizontal="right" vertical="center"/>
    </xf>
    <xf numFmtId="3" fontId="3" fillId="5" borderId="6" applyAlignment="1" pivotButton="0" quotePrefix="0" xfId="0">
      <alignment horizontal="center" vertical="center"/>
    </xf>
    <xf numFmtId="0" fontId="20" fillId="10" borderId="5" applyAlignment="1" pivotButton="0" quotePrefix="0" xfId="0">
      <alignment horizontal="center" vertical="center" wrapText="1"/>
    </xf>
    <xf numFmtId="164" fontId="20" fillId="10" borderId="5" applyAlignment="1" pivotButton="0" quotePrefix="0" xfId="0">
      <alignment horizontal="center" vertical="center" wrapText="1"/>
    </xf>
    <xf numFmtId="4" fontId="20" fillId="10" borderId="5" applyAlignment="1" pivotButton="0" quotePrefix="0" xfId="0">
      <alignment horizontal="right" vertical="center" wrapText="1"/>
    </xf>
    <xf numFmtId="4" fontId="20" fillId="10" borderId="5" applyAlignment="1" pivotButton="0" quotePrefix="0" xfId="0">
      <alignment horizontal="center" vertical="center"/>
    </xf>
    <xf numFmtId="3" fontId="20" fillId="10" borderId="5" applyAlignment="1" pivotButton="0" quotePrefix="0" xfId="0">
      <alignment horizontal="right" vertical="center" wrapText="1"/>
    </xf>
    <xf numFmtId="3" fontId="20" fillId="10" borderId="5" applyAlignment="1" pivotButton="0" quotePrefix="0" xfId="0">
      <alignment horizontal="center" vertical="center" wrapText="1"/>
    </xf>
  </cellXfs>
  <cellStyles count="1">
    <cellStyle name="표준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6E7"/>
      <rgbColor rgb="FF888888"/>
      <rgbColor rgb="FF9999FF"/>
      <rgbColor rgb="FF7030A0"/>
      <rgbColor rgb="FFFFF2CC"/>
      <rgbColor rgb="FFD6E4F0"/>
      <rgbColor rgb="FF660066"/>
      <rgbColor rgb="FFFF8080"/>
      <rgbColor rgb="FF0066CC"/>
      <rgbColor rgb="FFE8D5F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E2EFDA"/>
      <rgbColor rgb="FFFFFF99"/>
      <rgbColor rgb="FF99CCFF"/>
      <rgbColor rgb="FFFF99CC"/>
      <rgbColor rgb="FFCC99FF"/>
      <rgbColor rgb="FFFCE4D6"/>
      <rgbColor rgb="FF2E75B6"/>
      <rgbColor rgb="FF33CCCC"/>
      <rgbColor rgb="FF99CC00"/>
      <rgbColor rgb="FFFFCC00"/>
      <rgbColor rgb="FFFF9900"/>
      <rgbColor rgb="FFED7D31"/>
      <rgbColor rgb="FF666666"/>
      <rgbColor rgb="FF999999"/>
      <rgbColor rgb="FF1F3864"/>
      <rgbColor rgb="FF2E7D32"/>
      <rgbColor rgb="FF003300"/>
      <rgbColor rgb="FF333300"/>
      <rgbColor rgb="FF993300"/>
      <rgbColor rgb="FF993366"/>
      <rgbColor rgb="FF2F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RNR 재무팀</author>
    <author>import-cost-calculator</author>
    <author>RNR</author>
  </authors>
  <commentList>
    <comment ref="S5" authorId="0" shapeId="0">
      <text>
        <t>관세율 0% 적용 (DHL 특송/인천세관 직통관)
신고필증 미확보 - 면세 사유 확인 필요
(신고번호 883504210357, 수리일 2025-09-05)</t>
      </text>
    </comment>
    <comment ref="S7" authorId="0" shapeId="0">
      <text>
        <t>ITA(정보기술협정) 관세면제
HS 8543 — 디지털시네마 서버/IMB
(정보기술협정 양허품목)</t>
      </text>
    </comment>
    <comment ref="S11" authorId="0" shapeId="0">
      <text>
        <t>ITA(정보기술협정) 관세면제
HS 8518/8543 디지털시네마장비</t>
      </text>
    </comment>
    <comment ref="S13" authorId="0" shapeId="0">
      <text>
        <t>ITA(정보기술협정) 관세면제
HS 8543 — 디지털시네마 프로젝터
(정보기술협정 양허품목)</t>
      </text>
    </comment>
    <comment ref="S15" authorId="0" shapeId="0">
      <text>
        <t>ITA(정보기술협정) 관세면제
HS 8414.59 — Projector cooling fan
(WTO 협정세율 0%)</t>
      </text>
    </comment>
    <comment ref="S16" authorId="0" shapeId="0">
      <text>
        <t>ITA(정보기술협정) 관세면제
HS 8518/8543 디지털시네마장비</t>
      </text>
    </comment>
    <comment ref="S17" authorId="0" shapeId="0">
      <text>
        <t>ITA(정보기술협정) 관세면제
Fedex 직통관 (관세사 미경유)</t>
      </text>
    </comment>
    <comment ref="S19" authorId="0" shapeId="0">
      <text>
        <t>ITA(정보기술협정) 관세면제
HS 8543 — 디지털시네마 서버/IMB
(정보기술협정 양허품목)</t>
      </text>
    </comment>
    <comment ref="S22" authorId="0" shapeId="0">
      <text>
        <t>ITA(정보기술협정) 관세면제
HS 8518/8543 디지털시네마장비</t>
      </text>
    </comment>
    <comment ref="S24" authorId="0" shapeId="0">
      <text>
        <t>ITA(정보기술협정) 관세면제
Fedex 직통관 (관세사 미경유)</t>
      </text>
    </comment>
    <comment ref="S25" authorId="0" shapeId="0">
      <text>
        <t>ITA(정보기술협정) 관세면제
HS 8543 — 디지털시네마 서버/IMB
(정보기술협정 양허품목)</t>
      </text>
    </comment>
    <comment ref="S26" authorId="0" shapeId="0">
      <text>
        <t>ITA(정보기술협정) 관세면제
HS 8543 — 디지털시네마 서버/IMB
(정보기술협정 양허품목)</t>
      </text>
    </comment>
    <comment ref="S27" authorId="0" shapeId="0">
      <text>
        <t>ITA(정보기술협정) 관세면제
HS 8518/8543 디지털시네마장비</t>
      </text>
    </comment>
    <comment ref="Y29" authorId="0" shapeId="0">
      <text>
        <t>DHL 2026-05월 인보이스 (AWB 2538226250, 4/8 Christie HK 발송)
지출결의 2026-1344, 6/9 집행</t>
      </text>
    </comment>
    <comment ref="S35" authorId="0" shapeId="0">
      <text>
        <t>ITA(정보기술협정) 관세면제
HS 8543 — 디지털시네마 서버/IMB
(정보기술협정 양허품목)</t>
      </text>
    </comment>
    <comment ref="S37" authorId="0" shapeId="0">
      <text>
        <t>ITA(정보기술협정) 관세면제
HS 8543 — 디지털시네마 서버/IMB
(정보기술협정 양허품목)</t>
      </text>
    </comment>
    <comment ref="S38" authorId="0" shapeId="0">
      <text>
        <t>ITA(정보기술협정) 관세면제
HS 8543 — 디지털시네마 서버/IMB
(정보기술협정 양허품목)</t>
      </text>
    </comment>
    <comment ref="Y39" authorId="0" shapeId="0">
      <text>
        <t>FedEx 2026-05월 인보이스 159,250원 선반영
(AWB 870900398456, 4/21 INTEG 발송, 4/27 배달)
인보이스/송금/수입신고 미도래 - 미확정 건</t>
      </text>
    </comment>
    <comment ref="S41" authorId="1" shapeId="0">
      <text>
        <t>관세 0원 — 수입신고필증 세율구분 'C'(WTO협정/양허세율) 적용
HS 8518 음향기기 (loudspeakers/amplifier)
원산지: 우크라이나(UA-A)</t>
      </text>
    </comment>
    <comment ref="S42" authorId="1" shapeId="0">
      <text>
        <t>관세 0원 — 수입신고필증 세율구분 'C'(WTO협정/양허세율) 적용
HS 8518 음향기기 (loudspeakers/amplifier)
원산지: 우크라이나(UA-A)</t>
      </text>
    </comment>
    <comment ref="S43" authorId="2" shapeId="0">
      <text>
        <t>관세 0원 — 수입신고필증 세율구분 'C'(가가, WTO/ITA 양허) 적용
HS 8529.90-6010 프로젝터 부품 (레이저광원모듈)
원산지: 중국(CN-A)
(신고번호 14008-26-101317M, 수리일 2026-06-29)</t>
      </text>
    </comment>
    <comment ref="S68" authorId="0" shapeId="0">
      <text>
        <t>관세율 0.00% - 세율구분 C(가가, WTO/ITA 양허)
수리반환 재수입 건, 부가세만 과세
(신고필증 2235626351613M)</t>
      </text>
    </comment>
    <comment ref="Y68" authorId="0" shapeId="0">
      <text>
        <t>DHL 2026-05월 인보이스 (AWB 5094871784 = 수입신고필증 B/L 일치)
GDC RMA 수리반환 건, 지출결의 2026-1344, 6/9 집행</t>
      </text>
    </comment>
    <comment ref="S73" authorId="0" shapeId="0">
      <text>
        <t>관세율 0.00% - 세율구분 C(가가, WTO/ITA 양허)
수리반환 재수입 건, 부가세만 과세
(신고필증 2235626351613M)</t>
      </text>
    </comment>
    <comment ref="Y73" authorId="0" shapeId="0">
      <text>
        <t>DHL 2026-05월 인보이스 (AWB 5094871784 = 수입신고필증 B/L 일치)
GDC RMA 수리반환 건, 지출결의 2026-1344, 6/9 집행</t>
      </text>
    </comment>
  </commentList>
</comments>
</file>

<file path=xl/comments/comment2.xml><?xml version="1.0" encoding="utf-8"?>
<comments xmlns="http://schemas.openxmlformats.org/spreadsheetml/2006/main">
  <authors>
    <author>수입원가계산기</author>
  </authors>
  <commentList>
    <comment ref="D3" authorId="0" shapeId="0">
      <text>
        <t>출금내역만 확인. 송금확인서 미확인</t>
      </text>
    </comment>
    <comment ref="D4" authorId="0" shapeId="0">
      <text>
        <t>출금내역만 확인. 송금확인서 미확인</t>
      </text>
    </comment>
    <comment ref="D5" authorId="0" shapeId="0">
      <text>
        <t>출금내역만 확인. 송금확인서 미확인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rnrfin.github.io/rnr-importcost/" TargetMode="Externa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6.xml.rels><Relationships xmlns="http://schemas.openxmlformats.org/package/2006/relationships"><Relationship Type="http://schemas.openxmlformats.org/officeDocument/2006/relationships/hyperlink" Target="https://unipass.customs.go.kr/clip/com/bsopcomn/baseinfo/otsd/COM0101049Q.do" TargetMode="External" Id="rId1"/></Relationships>
</file>

<file path=xl/worksheets/sheet1.xml><?xml version="1.0" encoding="utf-8"?>
<worksheet xmlns="http://schemas.openxmlformats.org/spreadsheetml/2006/main">
  <sheetPr>
    <tabColor rgb="FF2E75B6"/>
    <outlinePr summaryBelow="1" summaryRight="1"/>
    <pageSetUpPr/>
  </sheetPr>
  <dimension ref="A1:AF93"/>
  <sheetViews>
    <sheetView showGridLines="0" zoomScaleNormal="100" workbookViewId="0">
      <pane xSplit="2" ySplit="4" topLeftCell="E5" activePane="bottomRight" state="frozen"/>
      <selection pane="topRight" activeCell="J1" sqref="J1"/>
      <selection pane="bottomLeft" activeCell="A5" sqref="A5"/>
      <selection pane="bottomRight" activeCell="V4" sqref="V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10.83203125" customWidth="1" style="160" min="3" max="3"/>
    <col width="12.6640625" customWidth="1" style="160" min="4" max="4"/>
    <col width="12" customWidth="1" style="160" min="5" max="5"/>
    <col width="13.33203125" customWidth="1" style="160" min="6" max="7"/>
    <col width="12" customWidth="1" style="160" min="8" max="8"/>
    <col width="10.6640625" customWidth="1" style="160" min="9" max="9"/>
    <col width="15.6640625" customWidth="1" style="160" min="10" max="13"/>
    <col width="36.83203125" customWidth="1" style="160" min="14" max="14"/>
    <col width="11.83203125" customWidth="1" style="160" min="15" max="15"/>
    <col width="16.83203125" customWidth="1" style="160" min="16" max="16"/>
    <col width="13.1640625" customWidth="1" style="160" min="17" max="23"/>
    <col width="12.5" bestFit="1" customWidth="1" style="73" min="24" max="24"/>
    <col width="15" customWidth="1" style="160" min="25" max="27"/>
    <col width="5.6640625" customWidth="1" style="73" min="28" max="28"/>
    <col width="15" customWidth="1" style="160" min="29" max="29"/>
    <col width="13.33203125" customWidth="1" style="160" min="30" max="32"/>
    <col width="8.6640625" customWidth="1" style="160" min="33" max="37"/>
    <col width="8.6640625" customWidth="1" style="160" min="38" max="16384"/>
  </cols>
  <sheetData>
    <row r="1" ht="24" customHeight="1">
      <c r="A1" s="206" t="inlineStr">
        <is>
          <t>RNR 2026년 PO별 수입원가 산출표 (Master)  📊 https://rnrfin.github.io/rnr-importcost/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8" t="n"/>
      <c r="Q1" s="148" t="n"/>
      <c r="R1" s="148" t="n"/>
      <c r="S1" s="148" t="n"/>
      <c r="T1" s="148" t="n"/>
      <c r="U1" s="148" t="n"/>
      <c r="V1" s="148" t="n"/>
      <c r="W1" s="148" t="n"/>
      <c r="X1" s="148" t="n"/>
      <c r="Y1" s="148" t="n"/>
      <c r="Z1" s="148" t="n"/>
      <c r="AA1" s="148" t="n"/>
      <c r="AB1" s="148" t="n"/>
      <c r="AC1" s="148" t="n"/>
      <c r="AD1" s="148" t="n"/>
      <c r="AE1" s="148" t="n"/>
      <c r="AF1" s="149" t="n"/>
    </row>
    <row r="2" ht="15.75" customHeight="1">
      <c r="A2" s="170" t="inlineStr">
        <is>
          <t>회계처리용 통합 데이터  |  기준일: 2026-07-07  |  노란색=미확인  |  보라색=라이센스/워런티  |  날짜→해당항목 좌측 배치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8" t="n"/>
      <c r="K2" s="148" t="n"/>
      <c r="L2" s="148" t="n"/>
      <c r="M2" s="148" t="n"/>
      <c r="N2" s="148" t="n"/>
      <c r="O2" s="148" t="n"/>
      <c r="P2" s="148" t="n"/>
      <c r="Q2" s="148" t="n"/>
      <c r="R2" s="148" t="n"/>
      <c r="S2" s="148" t="n"/>
      <c r="T2" s="148" t="n"/>
      <c r="U2" s="148" t="n"/>
      <c r="V2" s="148" t="n"/>
      <c r="W2" s="148" t="n"/>
      <c r="X2" s="148" t="n"/>
      <c r="Y2" s="148" t="n"/>
      <c r="Z2" s="148" t="n"/>
      <c r="AA2" s="148" t="n"/>
      <c r="AB2" s="148" t="n"/>
      <c r="AC2" s="148" t="n"/>
      <c r="AD2" s="148" t="n"/>
      <c r="AE2" s="148" t="n"/>
      <c r="AF2" s="149" t="n"/>
    </row>
    <row r="3" ht="18" customHeight="1">
      <c r="A3" s="171" t="inlineStr">
        <is>
          <t>① 기본정보</t>
        </is>
      </c>
      <c r="B3" s="148" t="n"/>
      <c r="C3" s="148" t="n"/>
      <c r="D3" s="148" t="n"/>
      <c r="E3" s="148" t="n"/>
      <c r="F3" s="149" t="n"/>
      <c r="G3" s="171" t="inlineStr">
        <is>
          <t>② 송금/장비대금</t>
        </is>
      </c>
      <c r="H3" s="148" t="n"/>
      <c r="I3" s="148" t="n"/>
      <c r="J3" s="148" t="n"/>
      <c r="K3" s="148" t="n"/>
      <c r="L3" s="148" t="n"/>
      <c r="M3" s="148" t="n"/>
      <c r="N3" s="149" t="n"/>
      <c r="O3" s="171" t="inlineStr">
        <is>
          <t>③ 수입신고</t>
        </is>
      </c>
      <c r="P3" s="148" t="n"/>
      <c r="Q3" s="148" t="n"/>
      <c r="R3" s="148" t="n"/>
      <c r="S3" s="148" t="n"/>
      <c r="T3" s="148" t="n"/>
      <c r="U3" s="148" t="n"/>
      <c r="V3" s="148" t="n"/>
      <c r="W3" s="149" t="n"/>
      <c r="X3" s="171" t="inlineStr">
        <is>
          <t>④ 통관/운송</t>
        </is>
      </c>
      <c r="Y3" s="148" t="n"/>
      <c r="Z3" s="149" t="n"/>
      <c r="AA3" s="172" t="inlineStr">
        <is>
          <t>⑤ 원가산출</t>
        </is>
      </c>
      <c r="AB3" s="148" t="n"/>
      <c r="AC3" s="149" t="n"/>
      <c r="AD3" s="171" t="inlineStr">
        <is>
          <t>⑥ 계약기간</t>
        </is>
      </c>
      <c r="AE3" s="148" t="n"/>
      <c r="AF3" s="149" t="n"/>
    </row>
    <row r="4" ht="27.75" customHeight="1">
      <c r="A4" s="150" t="inlineStr">
        <is>
          <t>No.</t>
        </is>
      </c>
      <c r="B4" s="150" t="inlineStr">
        <is>
          <t>PO No.</t>
        </is>
      </c>
      <c r="C4" s="150" t="inlineStr">
        <is>
          <t>업체</t>
        </is>
      </c>
      <c r="D4" s="150" t="inlineStr">
        <is>
          <t>지불조건</t>
        </is>
      </c>
      <c r="E4" s="150" t="inlineStr">
        <is>
          <t>구분</t>
        </is>
      </c>
      <c r="F4" s="150" t="inlineStr">
        <is>
          <t>PO일자</t>
        </is>
      </c>
      <c r="G4" s="150" t="inlineStr">
        <is>
          <t>송금일</t>
        </is>
      </c>
      <c r="H4" s="2" t="inlineStr">
        <is>
          <t>Invoice(USD)</t>
        </is>
      </c>
      <c r="I4" s="173" t="inlineStr">
        <is>
          <t>적용환율</t>
        </is>
      </c>
      <c r="J4" s="155" t="inlineStr">
        <is>
          <t>장비대금(KRW)</t>
        </is>
      </c>
      <c r="K4" s="155" t="inlineStr">
        <is>
          <t>원화환산액</t>
        </is>
      </c>
      <c r="L4" s="155" t="inlineStr">
        <is>
          <t>수수료(안분)</t>
        </is>
      </c>
      <c r="M4" s="155" t="inlineStr">
        <is>
          <t>전신료(안분)</t>
        </is>
      </c>
      <c r="N4" s="150" t="inlineStr">
        <is>
          <t>품명/수량</t>
        </is>
      </c>
      <c r="O4" s="150" t="inlineStr">
        <is>
          <t>수입신고일</t>
        </is>
      </c>
      <c r="P4" s="150" t="inlineStr">
        <is>
          <t>수입신고번호</t>
        </is>
      </c>
      <c r="Q4" s="150" t="inlineStr">
        <is>
          <t>신고환율</t>
        </is>
      </c>
      <c r="R4" s="150" t="inlineStr">
        <is>
          <t>과세가격(USD)</t>
        </is>
      </c>
      <c r="S4" s="155" t="inlineStr">
        <is>
          <t>관세(KRW)</t>
        </is>
      </c>
      <c r="T4" s="155" t="inlineStr">
        <is>
          <t>부가세(KRW,참고)</t>
        </is>
      </c>
      <c r="U4" s="150" t="inlineStr">
        <is>
          <t>세금계산서일</t>
        </is>
      </c>
      <c r="V4" s="150" t="inlineStr">
        <is>
          <t>관세사</t>
        </is>
      </c>
      <c r="W4" s="155" t="inlineStr">
        <is>
          <t>관세사비(KRW)</t>
        </is>
      </c>
      <c r="X4" s="150" t="inlineStr">
        <is>
          <t>운송사</t>
        </is>
      </c>
      <c r="Y4" s="155" t="inlineStr">
        <is>
          <t>수입운송료(KRW)</t>
        </is>
      </c>
      <c r="Z4" s="155" t="inlineStr">
        <is>
          <t>소계:관세+통관(KRW)</t>
        </is>
      </c>
      <c r="AA4" s="155" t="inlineStr">
        <is>
          <t>총 수입원가(KRW)</t>
        </is>
      </c>
      <c r="AB4" s="150" t="inlineStr">
        <is>
          <t>수량</t>
        </is>
      </c>
      <c r="AC4" s="155" t="inlineStr">
        <is>
          <t>개당 원가(KRW)</t>
        </is>
      </c>
      <c r="AD4" s="150" t="inlineStr">
        <is>
          <t>귀속월</t>
        </is>
      </c>
      <c r="AE4" s="150" t="inlineStr">
        <is>
          <t>계약시작일</t>
        </is>
      </c>
      <c r="AF4" s="150" t="inlineStr">
        <is>
          <t>계약종료일</t>
        </is>
      </c>
    </row>
    <row r="5" ht="15.75" customHeight="1">
      <c r="A5" s="3" t="n">
        <v>1</v>
      </c>
      <c r="B5" s="3" t="inlineStr">
        <is>
          <t>IPO016</t>
        </is>
      </c>
      <c r="C5" s="4" t="inlineStr">
        <is>
          <t>Integ Process Group</t>
        </is>
      </c>
      <c r="D5" s="3" t="inlineStr">
        <is>
          <t>50% TT advance, 50% Net 30</t>
        </is>
      </c>
      <c r="E5" s="4" t="inlineStr">
        <is>
          <t>부품</t>
        </is>
      </c>
      <c r="F5" s="174" t="n">
        <v>45881</v>
      </c>
      <c r="G5" s="175" t="n">
        <v>46146</v>
      </c>
      <c r="H5" s="7" t="n">
        <v>6800</v>
      </c>
      <c r="I5" s="33" t="n">
        <v>1475.2</v>
      </c>
      <c r="J5" s="9" t="n">
        <v>10031360</v>
      </c>
      <c r="K5" s="9" t="n">
        <v>10031360</v>
      </c>
      <c r="L5" s="9" t="n">
        <v>10000</v>
      </c>
      <c r="M5" s="9" t="n">
        <v>8000</v>
      </c>
      <c r="N5" s="3" t="inlineStr">
        <is>
          <t>JNIOR Model 410 (20EA)</t>
        </is>
      </c>
      <c r="O5" s="175" t="n">
        <v>45905</v>
      </c>
      <c r="P5" s="3" t="inlineStr">
        <is>
          <t>883504210357</t>
        </is>
      </c>
      <c r="Q5" s="7">
        <f>IF(P5="","",IFERROR(VLOOKUP(O5,FxRateTable,4,TRUE),""))</f>
        <v/>
      </c>
      <c r="R5" s="7">
        <f>IF(P5="","",H5)</f>
        <v/>
      </c>
      <c r="S5" s="9" t="n">
        <v>0</v>
      </c>
      <c r="T5" s="9" t="n">
        <v>954760</v>
      </c>
      <c r="U5" s="174" t="n">
        <v>45905</v>
      </c>
      <c r="V5" s="3" t="inlineStr">
        <is>
          <t>인천세관</t>
        </is>
      </c>
      <c r="W5" s="9" t="n">
        <v>0</v>
      </c>
      <c r="X5" s="4" t="inlineStr">
        <is>
          <t>DHL</t>
        </is>
      </c>
      <c r="Y5" s="9" t="n">
        <v>0</v>
      </c>
      <c r="Z5" s="9">
        <f>S5+W5</f>
        <v/>
      </c>
      <c r="AA5" s="123">
        <f>K5+L5+M5+IFERROR(VLOOKUP(B5,RemitTable2,9,FALSE),0)+Y5+Z5</f>
        <v/>
      </c>
      <c r="AB5" s="11" t="n">
        <v>20</v>
      </c>
      <c r="AC5" s="123">
        <f>ROUND(AA5/AB5,0)</f>
        <v/>
      </c>
      <c r="AD5" s="3" t="inlineStr">
        <is>
          <t>2026-05</t>
        </is>
      </c>
      <c r="AE5" s="175" t="inlineStr">
        <is>
          <t>-</t>
        </is>
      </c>
      <c r="AF5" s="174" t="inlineStr">
        <is>
          <t>-</t>
        </is>
      </c>
    </row>
    <row r="6" ht="15.75" customHeight="1">
      <c r="A6" s="3" t="n">
        <v>2</v>
      </c>
      <c r="B6" s="3" t="inlineStr">
        <is>
          <t>CPO678-1</t>
        </is>
      </c>
      <c r="C6" s="4" t="inlineStr">
        <is>
          <t>Christie</t>
        </is>
      </c>
      <c r="D6" s="3" t="inlineStr">
        <is>
          <t>Net 45 days</t>
        </is>
      </c>
      <c r="E6" s="4" t="inlineStr">
        <is>
          <t>장비</t>
        </is>
      </c>
      <c r="F6" s="174" t="n">
        <v>45965</v>
      </c>
      <c r="G6" s="175" t="n">
        <v>46007</v>
      </c>
      <c r="H6" s="7" t="n">
        <v>139083</v>
      </c>
      <c r="I6" s="33" t="n">
        <v>1479.7</v>
      </c>
      <c r="J6" s="9" t="n">
        <v>205801115</v>
      </c>
      <c r="K6" s="9" t="n">
        <v>205801115</v>
      </c>
      <c r="L6" s="9" t="n">
        <v>12110</v>
      </c>
      <c r="M6" s="9" t="n">
        <v>7751</v>
      </c>
      <c r="N6" s="3" t="inlineStr">
        <is>
          <t>Projector</t>
        </is>
      </c>
      <c r="O6" s="175" t="n">
        <v>46002</v>
      </c>
      <c r="P6" s="3" t="inlineStr">
        <is>
          <t>1219925801471M</t>
        </is>
      </c>
      <c r="Q6" s="7">
        <f>IF(P6="","",IFERROR(VLOOKUP(O6,FxRateTable,4,TRUE),""))</f>
        <v/>
      </c>
      <c r="R6" s="7">
        <f>IF(P6="","",H6)</f>
        <v/>
      </c>
      <c r="S6" s="9" t="n">
        <v>1682291</v>
      </c>
      <c r="T6" s="9" t="n">
        <v>20784342</v>
      </c>
      <c r="U6" s="174" t="n">
        <v>46017</v>
      </c>
      <c r="V6" s="3" t="inlineStr">
        <is>
          <t>다민관세사</t>
        </is>
      </c>
      <c r="W6" s="9" t="n">
        <v>149729</v>
      </c>
      <c r="X6" s="4" t="inlineStr">
        <is>
          <t>진로직스</t>
        </is>
      </c>
      <c r="Y6" s="9" t="n">
        <v>2470670</v>
      </c>
      <c r="Z6" s="9">
        <f>S6+W6</f>
        <v/>
      </c>
      <c r="AA6" s="10">
        <f>K6+L6+M6+IFERROR(VLOOKUP(B6,RemitTable2,9,FALSE),0)+Y6+Z6</f>
        <v/>
      </c>
      <c r="AB6" s="11" t="n">
        <v>1</v>
      </c>
      <c r="AC6" s="10">
        <f>ROUND(AA6/AB6,0)</f>
        <v/>
      </c>
      <c r="AD6" s="3" t="inlineStr">
        <is>
          <t>2025-12</t>
        </is>
      </c>
      <c r="AE6" s="175" t="inlineStr">
        <is>
          <t>-</t>
        </is>
      </c>
      <c r="AF6" s="174" t="inlineStr">
        <is>
          <t>-</t>
        </is>
      </c>
    </row>
    <row r="7" ht="15.75" customHeight="1">
      <c r="A7" s="3" t="n">
        <v>3</v>
      </c>
      <c r="B7" s="3" t="inlineStr">
        <is>
          <t>GPO451</t>
        </is>
      </c>
      <c r="C7" s="4" t="inlineStr">
        <is>
          <t>GDC</t>
        </is>
      </c>
      <c r="D7" s="3" t="inlineStr">
        <is>
          <t>Net 30 days</t>
        </is>
      </c>
      <c r="E7" s="4" t="inlineStr">
        <is>
          <t>장비</t>
        </is>
      </c>
      <c r="F7" s="174" t="n">
        <v>45982</v>
      </c>
      <c r="G7" s="175" t="n">
        <v>46020</v>
      </c>
      <c r="H7" s="7" t="n">
        <v>9060</v>
      </c>
      <c r="I7" s="33" t="n">
        <v>1439.1</v>
      </c>
      <c r="J7" s="9" t="n">
        <v>13038246</v>
      </c>
      <c r="K7" s="9" t="n">
        <v>13038246</v>
      </c>
      <c r="L7" s="9" t="n">
        <v>6537</v>
      </c>
      <c r="M7" s="9" t="n">
        <v>5229</v>
      </c>
      <c r="N7" s="3" t="inlineStr">
        <is>
          <t>IMB/Server</t>
        </is>
      </c>
      <c r="O7" s="175" t="n">
        <v>45996</v>
      </c>
      <c r="P7" s="3" t="inlineStr">
        <is>
          <t>2317625939353M</t>
        </is>
      </c>
      <c r="Q7" s="7">
        <f>IF(P7="","",IFERROR(VLOOKUP(O7,FxRateTable,4,TRUE),""))</f>
        <v/>
      </c>
      <c r="R7" s="7">
        <f>IF(P7="","",H7)</f>
        <v/>
      </c>
      <c r="S7" s="9" t="n">
        <v>0</v>
      </c>
      <c r="T7" s="9" t="n">
        <v>1352610</v>
      </c>
      <c r="U7" s="174" t="n">
        <v>46011</v>
      </c>
      <c r="V7" s="3" t="inlineStr">
        <is>
          <t>-</t>
        </is>
      </c>
      <c r="W7" s="9" t="n">
        <v>0</v>
      </c>
      <c r="X7" s="4" t="inlineStr">
        <is>
          <t>Fedex</t>
        </is>
      </c>
      <c r="Y7" s="9" t="n">
        <v>0</v>
      </c>
      <c r="Z7" s="9">
        <f>S7+W7</f>
        <v/>
      </c>
      <c r="AA7" s="10">
        <f>K7+L7+M7+IFERROR(VLOOKUP(B7,RemitTable2,9,FALSE),0)+Y7+Z7</f>
        <v/>
      </c>
      <c r="AB7" s="11" t="n">
        <v>1</v>
      </c>
      <c r="AC7" s="10">
        <f>ROUND(AA7/AB7,0)</f>
        <v/>
      </c>
      <c r="AD7" s="3" t="inlineStr">
        <is>
          <t>2025-12</t>
        </is>
      </c>
      <c r="AE7" s="175" t="inlineStr">
        <is>
          <t>-</t>
        </is>
      </c>
      <c r="AF7" s="174" t="inlineStr">
        <is>
          <t>-</t>
        </is>
      </c>
    </row>
    <row r="8" ht="15.75" customHeight="1">
      <c r="A8" s="3" t="n">
        <v>4</v>
      </c>
      <c r="B8" s="3" t="inlineStr">
        <is>
          <t>CPO679</t>
        </is>
      </c>
      <c r="C8" s="4" t="inlineStr">
        <is>
          <t>Christie</t>
        </is>
      </c>
      <c r="D8" s="3" t="inlineStr">
        <is>
          <t>Net 45 days</t>
        </is>
      </c>
      <c r="E8" s="4" t="inlineStr">
        <is>
          <t>부품</t>
        </is>
      </c>
      <c r="F8" s="174" t="n">
        <v>45987</v>
      </c>
      <c r="G8" s="175" t="n">
        <v>46007</v>
      </c>
      <c r="H8" s="7" t="n">
        <v>4474</v>
      </c>
      <c r="I8" s="33" t="n">
        <v>1479.7</v>
      </c>
      <c r="J8" s="9" t="n">
        <v>6620178</v>
      </c>
      <c r="K8" s="9" t="n">
        <v>6620178</v>
      </c>
      <c r="L8" s="9" t="n">
        <v>390</v>
      </c>
      <c r="M8" s="9" t="n">
        <v>249</v>
      </c>
      <c r="N8" s="3" t="inlineStr">
        <is>
          <t>Lens</t>
        </is>
      </c>
      <c r="O8" s="175" t="n">
        <v>45989</v>
      </c>
      <c r="P8" s="3" t="inlineStr">
        <is>
          <t>1421425100697M</t>
        </is>
      </c>
      <c r="Q8" s="7">
        <f>IF(P8="","",IFERROR(VLOOKUP(O8,FxRateTable,4,TRUE),""))</f>
        <v/>
      </c>
      <c r="R8" s="7">
        <f>IF(P8="","",H8)</f>
        <v/>
      </c>
      <c r="S8" s="9" t="n">
        <v>560630</v>
      </c>
      <c r="T8" s="9" t="n">
        <v>756850</v>
      </c>
      <c r="U8" s="174" t="n">
        <v>46004</v>
      </c>
      <c r="V8" s="3" t="inlineStr">
        <is>
          <t>아인관세사</t>
        </is>
      </c>
      <c r="W8" s="9" t="n">
        <v>36000</v>
      </c>
      <c r="X8" s="4" t="inlineStr">
        <is>
          <t>진로직스</t>
        </is>
      </c>
      <c r="Y8" s="9" t="n">
        <v>590823</v>
      </c>
      <c r="Z8" s="9">
        <f>S8+W8</f>
        <v/>
      </c>
      <c r="AA8" s="10">
        <f>K8+L8+M8+IFERROR(VLOOKUP(B8,RemitTable2,9,FALSE),0)+Y8+Z8</f>
        <v/>
      </c>
      <c r="AB8" s="11" t="n">
        <v>1</v>
      </c>
      <c r="AC8" s="10">
        <f>ROUND(AA8/AB8,0)</f>
        <v/>
      </c>
      <c r="AD8" s="3" t="inlineStr">
        <is>
          <t>2025-11</t>
        </is>
      </c>
      <c r="AE8" s="175" t="inlineStr">
        <is>
          <t>-</t>
        </is>
      </c>
      <c r="AF8" s="174" t="inlineStr">
        <is>
          <t>-</t>
        </is>
      </c>
    </row>
    <row r="9" ht="15.75" customHeight="1">
      <c r="A9" s="12" t="n">
        <v>5</v>
      </c>
      <c r="B9" s="12" t="inlineStr">
        <is>
          <t>CPO684</t>
        </is>
      </c>
      <c r="C9" s="13" t="inlineStr">
        <is>
          <t>Christie</t>
        </is>
      </c>
      <c r="D9" s="12" t="inlineStr">
        <is>
          <t>Net 45 days</t>
        </is>
      </c>
      <c r="E9" s="13" t="inlineStr">
        <is>
          <t>부품</t>
        </is>
      </c>
      <c r="F9" s="176" t="n">
        <v>45993</v>
      </c>
      <c r="G9" s="177" t="inlineStr">
        <is>
          <t>-</t>
        </is>
      </c>
      <c r="H9" s="16" t="n">
        <v>362.25</v>
      </c>
      <c r="I9" s="178">
        <f>IFERROR(VLOOKUP(B9,RemitTable2,7,FALSE),0)</f>
        <v/>
      </c>
      <c r="J9" s="18" t="n">
        <v>0</v>
      </c>
      <c r="K9" s="18">
        <f>IFERROR(ROUND(H9*I9,0),0)</f>
        <v/>
      </c>
      <c r="L9" s="18">
        <f>IFERROR(VLOOKUP(B9,RemitTable2,10,FALSE),0)</f>
        <v/>
      </c>
      <c r="M9" s="18">
        <f>IFERROR(VLOOKUP(B9,RemitTable2,11,FALSE),0)</f>
        <v/>
      </c>
      <c r="N9" s="12" t="inlineStr">
        <is>
          <t>Parts (국내)</t>
        </is>
      </c>
      <c r="O9" s="177" t="n"/>
      <c r="P9" s="12" t="n"/>
      <c r="Q9" s="18">
        <f>IF(P9="","",IFERROR(VLOOKUP(O9,FxRateTable,4,TRUE),""))</f>
        <v/>
      </c>
      <c r="R9" s="18">
        <f>IF(P9="","",H9)</f>
        <v/>
      </c>
      <c r="S9" s="18" t="n">
        <v>0</v>
      </c>
      <c r="T9" s="18" t="n">
        <v>0</v>
      </c>
      <c r="U9" s="176" t="n"/>
      <c r="V9" s="12" t="inlineStr">
        <is>
          <t>-</t>
        </is>
      </c>
      <c r="W9" s="18" t="n">
        <v>0</v>
      </c>
      <c r="X9" s="13" t="inlineStr">
        <is>
          <t>-</t>
        </is>
      </c>
      <c r="Y9" s="18" t="n">
        <v>0</v>
      </c>
      <c r="Z9" s="18">
        <f>S9+W9</f>
        <v/>
      </c>
      <c r="AA9" s="18">
        <f>K9+L9+M9+IFERROR(VLOOKUP(B9,RemitTable2,9,FALSE),0)+Y9+Z9</f>
        <v/>
      </c>
      <c r="AB9" s="19" t="n">
        <v>1</v>
      </c>
      <c r="AC9" s="18">
        <f>ROUND(AA9/AB9,0)</f>
        <v/>
      </c>
      <c r="AD9" s="12" t="n"/>
      <c r="AE9" s="177" t="inlineStr">
        <is>
          <t>-</t>
        </is>
      </c>
      <c r="AF9" s="176" t="inlineStr">
        <is>
          <t>-</t>
        </is>
      </c>
    </row>
    <row r="10" ht="15.75" customHeight="1">
      <c r="A10" s="3" t="n">
        <v>6</v>
      </c>
      <c r="B10" s="3" t="inlineStr">
        <is>
          <t>CPO680</t>
        </is>
      </c>
      <c r="C10" s="4" t="inlineStr">
        <is>
          <t>Christie</t>
        </is>
      </c>
      <c r="D10" s="3" t="inlineStr">
        <is>
          <t>Net 45 days</t>
        </is>
      </c>
      <c r="E10" s="4" t="inlineStr">
        <is>
          <t>부품</t>
        </is>
      </c>
      <c r="F10" s="174" t="n">
        <v>45995</v>
      </c>
      <c r="G10" s="175" t="n">
        <v>46035</v>
      </c>
      <c r="H10" s="7" t="n">
        <v>252</v>
      </c>
      <c r="I10" s="33" t="n">
        <v>1479</v>
      </c>
      <c r="J10" s="9" t="n">
        <v>372708</v>
      </c>
      <c r="K10" s="9" t="n">
        <v>372708</v>
      </c>
      <c r="L10" s="9" t="n">
        <v>2500</v>
      </c>
      <c r="M10" s="9" t="n">
        <v>8000</v>
      </c>
      <c r="N10" s="3" t="inlineStr">
        <is>
          <t>Parts</t>
        </is>
      </c>
      <c r="O10" s="175" t="n">
        <v>46002</v>
      </c>
      <c r="P10" s="3" t="inlineStr">
        <is>
          <t>1219925801471M</t>
        </is>
      </c>
      <c r="Q10" s="7">
        <f>IF(P10="","",IFERROR(VLOOKUP(O10,FxRateTable,4,TRUE),""))</f>
        <v/>
      </c>
      <c r="R10" s="7">
        <f>IF(P10="","",H10)</f>
        <v/>
      </c>
      <c r="S10" s="9" t="n">
        <v>29879</v>
      </c>
      <c r="T10" s="9" t="n">
        <v>37658</v>
      </c>
      <c r="U10" s="174" t="n">
        <v>46017</v>
      </c>
      <c r="V10" s="3" t="inlineStr">
        <is>
          <t>다민관세사</t>
        </is>
      </c>
      <c r="W10" s="9" t="n">
        <v>271</v>
      </c>
      <c r="X10" s="4" t="inlineStr">
        <is>
          <t>진로직스</t>
        </is>
      </c>
      <c r="Y10" s="9" t="n">
        <v>4477</v>
      </c>
      <c r="Z10" s="9">
        <f>S10+W10</f>
        <v/>
      </c>
      <c r="AA10" s="10">
        <f>K10+L10+M10+IFERROR(VLOOKUP(B10,RemitTable2,9,FALSE),0)+Y10+Z10</f>
        <v/>
      </c>
      <c r="AB10" s="11" t="n">
        <v>1</v>
      </c>
      <c r="AC10" s="10">
        <f>ROUND(AA10/AB10,0)</f>
        <v/>
      </c>
      <c r="AD10" s="3" t="inlineStr">
        <is>
          <t>2025-12</t>
        </is>
      </c>
      <c r="AE10" s="175" t="inlineStr">
        <is>
          <t>-</t>
        </is>
      </c>
      <c r="AF10" s="174" t="inlineStr">
        <is>
          <t>-</t>
        </is>
      </c>
    </row>
    <row r="11" ht="15.75" customHeight="1">
      <c r="A11" s="3" t="n">
        <v>7</v>
      </c>
      <c r="B11" s="3" t="inlineStr">
        <is>
          <t>GPO460</t>
        </is>
      </c>
      <c r="C11" s="4" t="inlineStr">
        <is>
          <t>GDC</t>
        </is>
      </c>
      <c r="D11" s="3" t="inlineStr">
        <is>
          <t>Net 30 days</t>
        </is>
      </c>
      <c r="E11" s="4" t="inlineStr">
        <is>
          <t>장비</t>
        </is>
      </c>
      <c r="F11" s="174" t="n">
        <v>46007</v>
      </c>
      <c r="G11" s="175" t="n">
        <v>46043</v>
      </c>
      <c r="H11" s="7" t="n">
        <v>2710</v>
      </c>
      <c r="I11" s="33" t="n">
        <v>1475.7</v>
      </c>
      <c r="J11" s="9" t="n">
        <v>3999147</v>
      </c>
      <c r="K11" s="9" t="n">
        <v>3999147</v>
      </c>
      <c r="L11" s="9" t="n">
        <v>5493</v>
      </c>
      <c r="M11" s="9" t="n">
        <v>5859</v>
      </c>
      <c r="N11" s="3" t="inlineStr">
        <is>
          <t>SR-1000</t>
        </is>
      </c>
      <c r="O11" s="175" t="n">
        <v>46023</v>
      </c>
      <c r="P11" s="3" t="inlineStr">
        <is>
          <t>2317626006259M</t>
        </is>
      </c>
      <c r="Q11" s="7">
        <f>IF(P11="","",IFERROR(VLOOKUP(O11,FxRateTable,4,TRUE),""))</f>
        <v/>
      </c>
      <c r="R11" s="7">
        <f>IF(P11="","",H11)</f>
        <v/>
      </c>
      <c r="S11" s="9" t="n">
        <v>0</v>
      </c>
      <c r="T11" s="9" t="n">
        <v>399770</v>
      </c>
      <c r="U11" s="174" t="n">
        <v>46038</v>
      </c>
      <c r="V11" s="3" t="inlineStr">
        <is>
          <t>-</t>
        </is>
      </c>
      <c r="W11" s="9" t="n">
        <v>0</v>
      </c>
      <c r="X11" s="4" t="inlineStr">
        <is>
          <t>Fedex</t>
        </is>
      </c>
      <c r="Y11" s="9" t="n">
        <v>0</v>
      </c>
      <c r="Z11" s="9">
        <f>S11+W11</f>
        <v/>
      </c>
      <c r="AA11" s="10">
        <f>K11+L11+M11+IFERROR(VLOOKUP(B11,RemitTable2,9,FALSE),0)+Y11+Z11</f>
        <v/>
      </c>
      <c r="AB11" s="11" t="n">
        <v>1</v>
      </c>
      <c r="AC11" s="10">
        <f>ROUND(AA11/AB11,0)</f>
        <v/>
      </c>
      <c r="AD11" s="3" t="inlineStr">
        <is>
          <t>2026-01</t>
        </is>
      </c>
      <c r="AE11" s="175" t="inlineStr">
        <is>
          <t>-</t>
        </is>
      </c>
      <c r="AF11" s="174" t="inlineStr">
        <is>
          <t>-</t>
        </is>
      </c>
    </row>
    <row r="12" ht="15.75" customHeight="1">
      <c r="A12" s="3" t="n">
        <v>8</v>
      </c>
      <c r="B12" s="3" t="inlineStr">
        <is>
          <t>LPO001</t>
        </is>
      </c>
      <c r="C12" s="4" t="inlineStr">
        <is>
          <t>Lemon</t>
        </is>
      </c>
      <c r="D12" s="3" t="inlineStr">
        <is>
          <t>TT Advance</t>
        </is>
      </c>
      <c r="E12" s="4" t="inlineStr">
        <is>
          <t>장비</t>
        </is>
      </c>
      <c r="F12" s="174" t="n">
        <v>46007</v>
      </c>
      <c r="G12" s="175" t="n">
        <v>46052</v>
      </c>
      <c r="H12" s="7" t="n">
        <v>5056.8</v>
      </c>
      <c r="I12" s="33" t="n">
        <v>1445.5</v>
      </c>
      <c r="J12" s="9" t="n">
        <v>7309604</v>
      </c>
      <c r="K12" s="9" t="n">
        <v>7309604</v>
      </c>
      <c r="L12" s="9" t="n">
        <v>10000</v>
      </c>
      <c r="M12" s="9" t="n">
        <v>8000</v>
      </c>
      <c r="N12" s="3" t="inlineStr">
        <is>
          <t>ICP+TPC (6EA)</t>
        </is>
      </c>
      <c r="O12" s="175" t="n">
        <v>46090</v>
      </c>
      <c r="P12" s="3" t="inlineStr">
        <is>
          <t>1421426100183M</t>
        </is>
      </c>
      <c r="Q12" s="7">
        <f>IF(P12="","",IFERROR(VLOOKUP(O12,FxRateTable,4,TRUE),""))</f>
        <v/>
      </c>
      <c r="R12" s="7">
        <f>IF(P12="","",H12)</f>
        <v/>
      </c>
      <c r="S12" s="9" t="n">
        <v>240450</v>
      </c>
      <c r="T12" s="9" t="n">
        <v>831820</v>
      </c>
      <c r="U12" s="174" t="n">
        <v>46105</v>
      </c>
      <c r="V12" s="3" t="inlineStr">
        <is>
          <t>아인관세사</t>
        </is>
      </c>
      <c r="W12" s="9" t="n">
        <v>36000</v>
      </c>
      <c r="X12" s="4" t="inlineStr">
        <is>
          <t>진로직스</t>
        </is>
      </c>
      <c r="Y12" s="9" t="n">
        <v>581438</v>
      </c>
      <c r="Z12" s="9">
        <f>S12+W12</f>
        <v/>
      </c>
      <c r="AA12" s="10">
        <f>K12+L12+M12+IFERROR(VLOOKUP(B12,RemitTable2,9,FALSE),0)+Y12+Z12</f>
        <v/>
      </c>
      <c r="AB12" s="11" t="n">
        <v>6</v>
      </c>
      <c r="AC12" s="10">
        <f>ROUND(AA12/AB12,0)</f>
        <v/>
      </c>
      <c r="AD12" s="3" t="inlineStr">
        <is>
          <t>2026-03</t>
        </is>
      </c>
      <c r="AE12" s="175" t="inlineStr">
        <is>
          <t>-</t>
        </is>
      </c>
      <c r="AF12" s="174" t="inlineStr">
        <is>
          <t>-</t>
        </is>
      </c>
    </row>
    <row r="13" ht="15.75" customHeight="1">
      <c r="A13" s="3" t="n">
        <v>9</v>
      </c>
      <c r="B13" s="3" t="inlineStr">
        <is>
          <t>CPO678-2</t>
        </is>
      </c>
      <c r="C13" s="4" t="inlineStr">
        <is>
          <t>Christie</t>
        </is>
      </c>
      <c r="D13" s="3" t="inlineStr">
        <is>
          <t>Net 45 days</t>
        </is>
      </c>
      <c r="E13" s="4" t="inlineStr">
        <is>
          <t>장비</t>
        </is>
      </c>
      <c r="F13" s="174" t="n">
        <v>46009</v>
      </c>
      <c r="G13" s="175" t="n">
        <v>46087</v>
      </c>
      <c r="H13" s="7" t="n">
        <v>137850</v>
      </c>
      <c r="I13" s="33" t="n">
        <v>1477.6</v>
      </c>
      <c r="J13" s="9" t="n">
        <v>203687160</v>
      </c>
      <c r="K13" s="9" t="n">
        <v>203687160</v>
      </c>
      <c r="L13" s="9" t="n">
        <v>12500</v>
      </c>
      <c r="M13" s="9" t="n">
        <v>8000</v>
      </c>
      <c r="N13" s="3" t="inlineStr">
        <is>
          <t>CP4425-RGB Projector (3EA)</t>
        </is>
      </c>
      <c r="O13" s="175" t="n">
        <v>46030</v>
      </c>
      <c r="P13" s="3" t="inlineStr">
        <is>
          <t>1400826101004M</t>
        </is>
      </c>
      <c r="Q13" s="7">
        <f>IF(P13="","",IFERROR(VLOOKUP(O13,FxRateTable,4,TRUE),""))</f>
        <v/>
      </c>
      <c r="R13" s="7">
        <f>IF(P13="","",H13)</f>
        <v/>
      </c>
      <c r="S13" s="9" t="n">
        <v>0</v>
      </c>
      <c r="T13" s="9" t="n">
        <v>19976300</v>
      </c>
      <c r="U13" s="174" t="n">
        <v>46042</v>
      </c>
      <c r="V13" s="3" t="inlineStr">
        <is>
          <t>조운관세사</t>
        </is>
      </c>
      <c r="W13" s="9" t="n">
        <v>263400</v>
      </c>
      <c r="X13" s="4" t="inlineStr">
        <is>
          <t>진로직스</t>
        </is>
      </c>
      <c r="Y13" s="9" t="n">
        <v>2385057</v>
      </c>
      <c r="Z13" s="9">
        <f>S13+W13</f>
        <v/>
      </c>
      <c r="AA13" s="10">
        <f>K13+L13+M13+IFERROR(VLOOKUP(B13,RemitTable2,9,FALSE),0)+Y13+Z13</f>
        <v/>
      </c>
      <c r="AB13" s="11" t="n">
        <v>3</v>
      </c>
      <c r="AC13" s="10">
        <f>ROUND(AA13/AB13,0)</f>
        <v/>
      </c>
      <c r="AD13" s="3" t="inlineStr">
        <is>
          <t>2026-01</t>
        </is>
      </c>
      <c r="AE13" s="175" t="inlineStr">
        <is>
          <t>-</t>
        </is>
      </c>
      <c r="AF13" s="174" t="inlineStr">
        <is>
          <t>-</t>
        </is>
      </c>
    </row>
    <row r="14" ht="15.75" customHeight="1">
      <c r="A14" s="3" t="n">
        <v>10</v>
      </c>
      <c r="B14" s="3" t="inlineStr">
        <is>
          <t>CPO682</t>
        </is>
      </c>
      <c r="C14" s="4" t="inlineStr">
        <is>
          <t>Christie</t>
        </is>
      </c>
      <c r="D14" s="3" t="inlineStr">
        <is>
          <t>Net 45 days</t>
        </is>
      </c>
      <c r="E14" s="4" t="inlineStr">
        <is>
          <t>장비</t>
        </is>
      </c>
      <c r="F14" s="174" t="n">
        <v>46010</v>
      </c>
      <c r="G14" s="175" t="n">
        <v>46057</v>
      </c>
      <c r="H14" s="7" t="n">
        <v>20174</v>
      </c>
      <c r="I14" s="33" t="n">
        <v>1454.7</v>
      </c>
      <c r="J14" s="9" t="n">
        <v>29347118</v>
      </c>
      <c r="K14" s="9" t="n">
        <v>29347118</v>
      </c>
      <c r="L14" s="9" t="n">
        <v>10171</v>
      </c>
      <c r="M14" s="9" t="n">
        <v>6509</v>
      </c>
      <c r="N14" s="3" t="inlineStr">
        <is>
          <t>Projector + Touch Screen (2EA)</t>
        </is>
      </c>
      <c r="O14" s="175" t="n">
        <v>46015</v>
      </c>
      <c r="P14" s="3" t="inlineStr">
        <is>
          <t>1400825101450M</t>
        </is>
      </c>
      <c r="Q14" s="7">
        <f>IF(P14="","",IFERROR(VLOOKUP(O14,FxRateTable,4,TRUE),""))</f>
        <v/>
      </c>
      <c r="R14" s="7">
        <f>IF(P14="","",H14)</f>
        <v/>
      </c>
      <c r="S14" s="9" t="n">
        <v>84170</v>
      </c>
      <c r="T14" s="9" t="n">
        <v>3156262</v>
      </c>
      <c r="U14" s="174" t="n">
        <v>46030</v>
      </c>
      <c r="V14" s="3" t="inlineStr">
        <is>
          <t>아인관세사</t>
        </is>
      </c>
      <c r="W14" s="9" t="n">
        <v>92978</v>
      </c>
      <c r="X14" s="4" t="inlineStr">
        <is>
          <t>진로직스</t>
        </is>
      </c>
      <c r="Y14" s="9" t="n">
        <v>1864148</v>
      </c>
      <c r="Z14" s="9">
        <f>S14+W14</f>
        <v/>
      </c>
      <c r="AA14" s="10">
        <f>K14+L14+M14+IFERROR(VLOOKUP(B14,RemitTable2,9,FALSE),0)+Y14+Z14</f>
        <v/>
      </c>
      <c r="AB14" s="11" t="n">
        <v>1</v>
      </c>
      <c r="AC14" s="10">
        <f>ROUND(AA14/AB14,0)</f>
        <v/>
      </c>
      <c r="AD14" s="3" t="inlineStr">
        <is>
          <t>2025-12</t>
        </is>
      </c>
      <c r="AE14" s="175" t="inlineStr">
        <is>
          <t>-</t>
        </is>
      </c>
      <c r="AF14" s="174" t="inlineStr">
        <is>
          <t>-</t>
        </is>
      </c>
    </row>
    <row r="15" ht="15.75" customHeight="1">
      <c r="A15" s="3" t="n">
        <v>11</v>
      </c>
      <c r="B15" s="3" t="inlineStr">
        <is>
          <t>CPO683</t>
        </is>
      </c>
      <c r="C15" s="4" t="inlineStr">
        <is>
          <t>Christie</t>
        </is>
      </c>
      <c r="D15" s="3" t="inlineStr">
        <is>
          <t>Net 45 days</t>
        </is>
      </c>
      <c r="E15" s="4" t="inlineStr">
        <is>
          <t>장비</t>
        </is>
      </c>
      <c r="F15" s="174" t="n">
        <v>46010</v>
      </c>
      <c r="G15" s="175" t="n">
        <v>46057</v>
      </c>
      <c r="H15" s="7" t="n">
        <v>4620</v>
      </c>
      <c r="I15" s="33" t="n">
        <v>1454.7</v>
      </c>
      <c r="J15" s="9" t="n">
        <v>6720714</v>
      </c>
      <c r="K15" s="9" t="n">
        <v>6720714</v>
      </c>
      <c r="L15" s="9" t="n">
        <v>2329</v>
      </c>
      <c r="M15" s="9" t="n">
        <v>1491</v>
      </c>
      <c r="N15" s="3" t="inlineStr">
        <is>
          <t>Fan (15EA)</t>
        </is>
      </c>
      <c r="O15" s="175" t="n">
        <v>46015</v>
      </c>
      <c r="P15" s="3" t="inlineStr">
        <is>
          <t>1400825101450M</t>
        </is>
      </c>
      <c r="Q15" s="7">
        <f>IF(P15="","",IFERROR(VLOOKUP(O15,FxRateTable,4,TRUE),""))</f>
        <v/>
      </c>
      <c r="R15" s="7">
        <f>IF(P15="","",H15)</f>
        <v/>
      </c>
      <c r="S15" s="9" t="n">
        <v>0</v>
      </c>
      <c r="T15" s="9" t="n">
        <v>722808</v>
      </c>
      <c r="U15" s="174" t="n">
        <v>46030</v>
      </c>
      <c r="V15" s="3" t="inlineStr">
        <is>
          <t>아인관세사</t>
        </is>
      </c>
      <c r="W15" s="9" t="n">
        <v>14422</v>
      </c>
      <c r="X15" s="4" t="inlineStr">
        <is>
          <t>진로직스</t>
        </is>
      </c>
      <c r="Y15" s="9" t="n">
        <v>426904</v>
      </c>
      <c r="Z15" s="9">
        <f>S15+W15</f>
        <v/>
      </c>
      <c r="AA15" s="10">
        <f>K15+L15+M15+IFERROR(VLOOKUP(B15,RemitTable2,9,FALSE),0)+Y15+Z15</f>
        <v/>
      </c>
      <c r="AB15" s="11" t="n">
        <v>1</v>
      </c>
      <c r="AC15" s="10">
        <f>ROUND(AA15/AB15,0)</f>
        <v/>
      </c>
      <c r="AD15" s="3" t="inlineStr">
        <is>
          <t>2025-12</t>
        </is>
      </c>
      <c r="AE15" s="175" t="inlineStr">
        <is>
          <t>-</t>
        </is>
      </c>
      <c r="AF15" s="174" t="inlineStr">
        <is>
          <t>-</t>
        </is>
      </c>
    </row>
    <row r="16" ht="15.75" customHeight="1">
      <c r="A16" s="3" t="n">
        <v>12</v>
      </c>
      <c r="B16" s="3" t="inlineStr">
        <is>
          <t>MPO66</t>
        </is>
      </c>
      <c r="C16" s="4" t="inlineStr">
        <is>
          <t>MAG</t>
        </is>
      </c>
      <c r="D16" s="3" t="inlineStr">
        <is>
          <t>T/T</t>
        </is>
      </c>
      <c r="E16" s="4" t="inlineStr">
        <is>
          <t>장비</t>
        </is>
      </c>
      <c r="F16" s="174" t="n">
        <v>46011</v>
      </c>
      <c r="G16" s="175" t="n">
        <v>46043</v>
      </c>
      <c r="H16" s="7" t="n">
        <v>9626.35</v>
      </c>
      <c r="I16" s="33" t="n">
        <v>1476</v>
      </c>
      <c r="J16" s="9" t="n">
        <v>14208493</v>
      </c>
      <c r="K16" s="9" t="n">
        <v>14208493</v>
      </c>
      <c r="L16" s="9" t="n">
        <v>10000</v>
      </c>
      <c r="M16" s="9" t="n">
        <v>8000</v>
      </c>
      <c r="N16" s="3" t="inlineStr">
        <is>
          <t>DCO-16000/L-SUB (13EA)</t>
        </is>
      </c>
      <c r="O16" s="175" t="n">
        <v>46072</v>
      </c>
      <c r="P16" s="3" t="inlineStr">
        <is>
          <t>1421426100153M</t>
        </is>
      </c>
      <c r="Q16" s="7">
        <f>IF(P16="","",IFERROR(VLOOKUP(O16,FxRateTable,4,TRUE),""))</f>
        <v/>
      </c>
      <c r="R16" s="7">
        <f>IF(P16="","",H16)</f>
        <v/>
      </c>
      <c r="S16" s="9" t="n">
        <v>0</v>
      </c>
      <c r="T16" s="9" t="n">
        <v>1704871</v>
      </c>
      <c r="U16" s="174" t="n">
        <v>46087</v>
      </c>
      <c r="V16" s="3" t="inlineStr">
        <is>
          <t>아인관세사</t>
        </is>
      </c>
      <c r="W16" s="9" t="n">
        <v>93591</v>
      </c>
      <c r="X16" s="4" t="inlineStr">
        <is>
          <t>진로직스</t>
        </is>
      </c>
      <c r="Y16" s="9" t="n">
        <v>2690702</v>
      </c>
      <c r="Z16" s="9">
        <f>S16+W16</f>
        <v/>
      </c>
      <c r="AA16" s="10">
        <f>K16+L16+M16+IFERROR(VLOOKUP(B16,RemitTable2,9,FALSE),0)+Y16+Z16</f>
        <v/>
      </c>
      <c r="AB16" s="11" t="n">
        <v>13</v>
      </c>
      <c r="AC16" s="10">
        <f>ROUND(AA16/AB16,0)</f>
        <v/>
      </c>
      <c r="AD16" s="3" t="inlineStr">
        <is>
          <t>2026-02</t>
        </is>
      </c>
      <c r="AE16" s="175" t="inlineStr">
        <is>
          <t>-</t>
        </is>
      </c>
      <c r="AF16" s="174" t="inlineStr">
        <is>
          <t>-</t>
        </is>
      </c>
    </row>
    <row r="17" ht="15.75" customHeight="1">
      <c r="A17" s="3" t="n">
        <v>13</v>
      </c>
      <c r="B17" s="3" t="inlineStr">
        <is>
          <t>MPO65</t>
        </is>
      </c>
      <c r="C17" s="4" t="inlineStr">
        <is>
          <t>MAG</t>
        </is>
      </c>
      <c r="D17" s="3" t="inlineStr">
        <is>
          <t>T/T</t>
        </is>
      </c>
      <c r="E17" s="4" t="inlineStr">
        <is>
          <t>장비</t>
        </is>
      </c>
      <c r="F17" s="174" t="n">
        <v>46011</v>
      </c>
      <c r="G17" s="175" t="n">
        <v>46007</v>
      </c>
      <c r="H17" s="7" t="n">
        <v>4936</v>
      </c>
      <c r="I17" s="33" t="n">
        <v>1480</v>
      </c>
      <c r="J17" s="9" t="n">
        <v>7305280</v>
      </c>
      <c r="K17" s="9" t="n">
        <v>7305280</v>
      </c>
      <c r="L17" s="9" t="n">
        <v>3282</v>
      </c>
      <c r="M17" s="9" t="n">
        <v>2626</v>
      </c>
      <c r="N17" s="3" t="inlineStr">
        <is>
          <t>Audio Amp</t>
        </is>
      </c>
      <c r="O17" s="175" t="n">
        <v>46072</v>
      </c>
      <c r="P17" s="3" t="inlineStr">
        <is>
          <t>1421426100153M</t>
        </is>
      </c>
      <c r="Q17" s="7">
        <f>IF(P17="","",IFERROR(VLOOKUP(O17,FxRateTable,4,TRUE),""))</f>
        <v/>
      </c>
      <c r="R17" s="7">
        <f>IF(P17="","",H17)</f>
        <v/>
      </c>
      <c r="S17" s="9" t="n">
        <v>0</v>
      </c>
      <c r="T17" s="9" t="n">
        <v>874189</v>
      </c>
      <c r="U17" s="174" t="n">
        <v>46087</v>
      </c>
      <c r="V17" s="3" t="inlineStr">
        <is>
          <t>아인관세사</t>
        </is>
      </c>
      <c r="W17" s="9" t="n">
        <v>47990</v>
      </c>
      <c r="X17" s="4" t="inlineStr">
        <is>
          <t>진로직스</t>
        </is>
      </c>
      <c r="Y17" s="9" t="n">
        <v>1379682</v>
      </c>
      <c r="Z17" s="9">
        <f>S17+W17</f>
        <v/>
      </c>
      <c r="AA17" s="10">
        <f>K17+L17+M17+IFERROR(VLOOKUP(B17,RemitTable2,9,FALSE),0)+Y17+Z17</f>
        <v/>
      </c>
      <c r="AB17" s="11" t="n">
        <v>1</v>
      </c>
      <c r="AC17" s="10">
        <f>ROUND(AA17/AB17,0)</f>
        <v/>
      </c>
      <c r="AD17" s="3" t="inlineStr">
        <is>
          <t>2026-02</t>
        </is>
      </c>
      <c r="AE17" s="175" t="inlineStr">
        <is>
          <t>-</t>
        </is>
      </c>
      <c r="AF17" s="174" t="inlineStr">
        <is>
          <t>-</t>
        </is>
      </c>
    </row>
    <row r="18" ht="15.75" customHeight="1">
      <c r="A18" s="3" t="n">
        <v>14</v>
      </c>
      <c r="B18" s="3" t="inlineStr">
        <is>
          <t>CPO689</t>
        </is>
      </c>
      <c r="C18" s="4" t="inlineStr">
        <is>
          <t>Christie</t>
        </is>
      </c>
      <c r="D18" s="3" t="inlineStr">
        <is>
          <t>Net 45 days</t>
        </is>
      </c>
      <c r="E18" s="4" t="inlineStr">
        <is>
          <t>부품</t>
        </is>
      </c>
      <c r="F18" s="174" t="n">
        <v>46025</v>
      </c>
      <c r="G18" s="175" t="n">
        <v>46072</v>
      </c>
      <c r="H18" s="7" t="n">
        <v>2745</v>
      </c>
      <c r="I18" s="33" t="n">
        <v>1451.7</v>
      </c>
      <c r="J18" s="9" t="n">
        <v>3984917</v>
      </c>
      <c r="K18" s="9" t="n">
        <v>3984917</v>
      </c>
      <c r="L18" s="9" t="n">
        <v>1565</v>
      </c>
      <c r="M18" s="9" t="n">
        <v>1252</v>
      </c>
      <c r="N18" s="3" t="inlineStr">
        <is>
          <t>Parts</t>
        </is>
      </c>
      <c r="O18" s="175" t="n">
        <v>46042</v>
      </c>
      <c r="P18" s="3" t="inlineStr">
        <is>
          <t>2317626055855M</t>
        </is>
      </c>
      <c r="Q18" s="7">
        <f>IF(P18="","",IFERROR(VLOOKUP(O18,FxRateTable,4,TRUE),""))</f>
        <v/>
      </c>
      <c r="R18" s="7">
        <f>IF(P18="","",H18)</f>
        <v/>
      </c>
      <c r="S18" s="9" t="n">
        <v>20430</v>
      </c>
      <c r="T18" s="9" t="n">
        <v>409790</v>
      </c>
      <c r="U18" s="174" t="n">
        <v>46057</v>
      </c>
      <c r="V18" s="3" t="inlineStr">
        <is>
          <t>-</t>
        </is>
      </c>
      <c r="W18" s="9" t="n">
        <v>0</v>
      </c>
      <c r="X18" s="4" t="inlineStr">
        <is>
          <t>Fedex</t>
        </is>
      </c>
      <c r="Y18" s="9" t="n">
        <v>162080</v>
      </c>
      <c r="Z18" s="9">
        <f>S18+W18</f>
        <v/>
      </c>
      <c r="AA18" s="10">
        <f>K18+L18+M18+IFERROR(VLOOKUP(B18,RemitTable2,9,FALSE),0)+Y18+Z18</f>
        <v/>
      </c>
      <c r="AB18" s="11" t="n">
        <v>1</v>
      </c>
      <c r="AC18" s="10">
        <f>ROUND(AA18/AB18,0)</f>
        <v/>
      </c>
      <c r="AD18" s="3" t="inlineStr">
        <is>
          <t>2026-01</t>
        </is>
      </c>
      <c r="AE18" s="175" t="inlineStr">
        <is>
          <t>-</t>
        </is>
      </c>
      <c r="AF18" s="174" t="inlineStr">
        <is>
          <t>-</t>
        </is>
      </c>
    </row>
    <row r="19" ht="15.75" customHeight="1">
      <c r="A19" s="3" t="n">
        <v>15</v>
      </c>
      <c r="B19" s="3" t="inlineStr">
        <is>
          <t>GPO467</t>
        </is>
      </c>
      <c r="C19" s="4" t="inlineStr">
        <is>
          <t>GDC</t>
        </is>
      </c>
      <c r="D19" s="3" t="inlineStr">
        <is>
          <t>Net 30 days</t>
        </is>
      </c>
      <c r="E19" s="4" t="inlineStr">
        <is>
          <t>장비</t>
        </is>
      </c>
      <c r="F19" s="174" t="n">
        <v>46029</v>
      </c>
      <c r="G19" s="175" t="n">
        <v>46113</v>
      </c>
      <c r="H19" s="7" t="n">
        <v>1700</v>
      </c>
      <c r="I19" s="33" t="n">
        <v>1506.4</v>
      </c>
      <c r="J19" s="9" t="n">
        <v>2560880</v>
      </c>
      <c r="K19" s="9" t="n">
        <v>2560880</v>
      </c>
      <c r="L19" s="9" t="n">
        <v>2594</v>
      </c>
      <c r="M19" s="9" t="n">
        <v>2075</v>
      </c>
      <c r="N19" s="3" t="inlineStr">
        <is>
          <t>SR-1000 Face Plate(20)+Security Gate(10)</t>
        </is>
      </c>
      <c r="O19" s="175" t="n">
        <v>46056</v>
      </c>
      <c r="P19" s="3" t="inlineStr">
        <is>
          <t>2317626105219M</t>
        </is>
      </c>
      <c r="Q19" s="7">
        <f>IF(P19="","",IFERROR(VLOOKUP(O19,FxRateTable,4,TRUE),""))</f>
        <v/>
      </c>
      <c r="R19" s="7">
        <f>IF(P19="","",H19)</f>
        <v/>
      </c>
      <c r="S19" s="9" t="n">
        <v>0</v>
      </c>
      <c r="T19" s="9" t="n">
        <v>250080</v>
      </c>
      <c r="U19" s="174" t="n">
        <v>46071</v>
      </c>
      <c r="V19" s="3" t="inlineStr">
        <is>
          <t>-</t>
        </is>
      </c>
      <c r="W19" s="9" t="n">
        <v>0</v>
      </c>
      <c r="X19" s="4" t="inlineStr">
        <is>
          <t>Fedex</t>
        </is>
      </c>
      <c r="Y19" s="9" t="n">
        <v>136050</v>
      </c>
      <c r="Z19" s="9">
        <f>S19+W19</f>
        <v/>
      </c>
      <c r="AA19" s="10">
        <f>K19+L19+M19+IFERROR(VLOOKUP(B19,RemitTable2,9,FALSE),0)+Y19+Z19</f>
        <v/>
      </c>
      <c r="AB19" s="11" t="n">
        <v>30</v>
      </c>
      <c r="AC19" s="10">
        <f>ROUND(AA19/AB19,0)</f>
        <v/>
      </c>
      <c r="AD19" s="3" t="inlineStr">
        <is>
          <t>2026-02</t>
        </is>
      </c>
      <c r="AE19" s="175" t="inlineStr">
        <is>
          <t>-</t>
        </is>
      </c>
      <c r="AF19" s="174" t="inlineStr">
        <is>
          <t>-</t>
        </is>
      </c>
    </row>
    <row r="20" ht="15.75" customHeight="1">
      <c r="A20" s="3" t="n">
        <v>16</v>
      </c>
      <c r="B20" s="3" t="inlineStr">
        <is>
          <t>CPO692-1</t>
        </is>
      </c>
      <c r="C20" s="4" t="inlineStr">
        <is>
          <t>Christie</t>
        </is>
      </c>
      <c r="D20" s="3" t="inlineStr">
        <is>
          <t>Net 45 days</t>
        </is>
      </c>
      <c r="E20" s="4" t="inlineStr">
        <is>
          <t>부품(렌즈)</t>
        </is>
      </c>
      <c r="F20" s="174" t="n">
        <v>46035</v>
      </c>
      <c r="G20" s="175" t="n">
        <v>46134</v>
      </c>
      <c r="H20" s="7" t="n">
        <v>11000</v>
      </c>
      <c r="I20" s="33" t="n">
        <v>1482.8</v>
      </c>
      <c r="J20" s="9" t="n">
        <v>16310800</v>
      </c>
      <c r="K20" s="9" t="n">
        <v>16310800</v>
      </c>
      <c r="L20" s="9" t="n">
        <v>462</v>
      </c>
      <c r="M20" s="9" t="n">
        <v>296</v>
      </c>
      <c r="N20" s="3" t="inlineStr">
        <is>
          <t>Lens (2EA)</t>
        </is>
      </c>
      <c r="O20" s="175" t="n">
        <v>46064</v>
      </c>
      <c r="P20" s="3" t="inlineStr">
        <is>
          <t>2235626138790M</t>
        </is>
      </c>
      <c r="Q20" s="7">
        <f>IF(P20="","",IFERROR(VLOOKUP(O20,FxRateTable,4,TRUE),""))</f>
        <v/>
      </c>
      <c r="R20" s="7">
        <f>IF(P20="","",H20)</f>
        <v/>
      </c>
      <c r="S20" s="9" t="n">
        <v>1297810</v>
      </c>
      <c r="T20" s="9" t="n">
        <v>1752040</v>
      </c>
      <c r="U20" s="174" t="n">
        <v>46079</v>
      </c>
      <c r="V20" s="3" t="inlineStr">
        <is>
          <t>-</t>
        </is>
      </c>
      <c r="W20" s="9" t="n">
        <v>0</v>
      </c>
      <c r="X20" s="4" t="inlineStr">
        <is>
          <t>DHL</t>
        </is>
      </c>
      <c r="Y20" s="9" t="n">
        <v>1553086</v>
      </c>
      <c r="Z20" s="9">
        <f>S20+W20</f>
        <v/>
      </c>
      <c r="AA20" s="10">
        <f>K20+L20+M20+IFERROR(VLOOKUP(B20,RemitTable2,9,FALSE),0)+Y20+Z20</f>
        <v/>
      </c>
      <c r="AB20" s="11" t="n">
        <v>2</v>
      </c>
      <c r="AC20" s="10">
        <f>ROUND(AA20/AB20,0)</f>
        <v/>
      </c>
      <c r="AD20" s="3" t="inlineStr">
        <is>
          <t>2026-02</t>
        </is>
      </c>
      <c r="AE20" s="175" t="inlineStr">
        <is>
          <t>-</t>
        </is>
      </c>
      <c r="AF20" s="174" t="inlineStr">
        <is>
          <t>-</t>
        </is>
      </c>
    </row>
    <row r="21" ht="15.75" customHeight="1">
      <c r="A21" s="3" t="n">
        <v>17</v>
      </c>
      <c r="B21" s="3" t="inlineStr">
        <is>
          <t>CPO692-2</t>
        </is>
      </c>
      <c r="C21" s="4" t="inlineStr">
        <is>
          <t>Christie</t>
        </is>
      </c>
      <c r="D21" s="3" t="inlineStr">
        <is>
          <t>Net 45 days</t>
        </is>
      </c>
      <c r="E21" s="4" t="inlineStr">
        <is>
          <t>장비</t>
        </is>
      </c>
      <c r="F21" s="174" t="n">
        <v>46035</v>
      </c>
      <c r="G21" s="175" t="n">
        <v>46134</v>
      </c>
      <c r="H21" s="7" t="n">
        <v>286580</v>
      </c>
      <c r="I21" s="33" t="n">
        <v>1482.8</v>
      </c>
      <c r="J21" s="9" t="n">
        <v>424940824</v>
      </c>
      <c r="K21" s="9" t="n">
        <v>424940824</v>
      </c>
      <c r="L21" s="9" t="n">
        <v>12038</v>
      </c>
      <c r="M21" s="9" t="n">
        <v>7704</v>
      </c>
      <c r="N21" s="3" t="inlineStr">
        <is>
          <t>Projector+Lens+ASSY (28EA)</t>
        </is>
      </c>
      <c r="O21" s="175" t="n">
        <v>46073</v>
      </c>
      <c r="P21" s="3" t="inlineStr">
        <is>
          <t>1400826101051M</t>
        </is>
      </c>
      <c r="Q21" s="7">
        <f>IF(P21="","",IFERROR(VLOOKUP(O21,FxRateTable,4,TRUE),""))</f>
        <v/>
      </c>
      <c r="R21" s="7">
        <f>IF(P21="","",H21)</f>
        <v/>
      </c>
      <c r="S21" s="9" t="n">
        <v>3450410</v>
      </c>
      <c r="T21" s="9" t="n">
        <v>42329590</v>
      </c>
      <c r="U21" s="174" t="n">
        <v>46088</v>
      </c>
      <c r="V21" s="3" t="inlineStr">
        <is>
          <t>조운관세사</t>
        </is>
      </c>
      <c r="W21" s="9" t="n">
        <v>250000</v>
      </c>
      <c r="X21" s="4" t="inlineStr">
        <is>
          <t>진로직스</t>
        </is>
      </c>
      <c r="Y21" s="9" t="n">
        <v>2649525</v>
      </c>
      <c r="Z21" s="9">
        <f>S21+W21</f>
        <v/>
      </c>
      <c r="AA21" s="10">
        <f>K21+L21+M21+IFERROR(VLOOKUP(B21,RemitTable2,9,FALSE),0)+Y21+Z21</f>
        <v/>
      </c>
      <c r="AB21" s="11" t="n">
        <v>28</v>
      </c>
      <c r="AC21" s="10">
        <f>ROUND(AA21/AB21,0)</f>
        <v/>
      </c>
      <c r="AD21" s="3" t="inlineStr">
        <is>
          <t>2026-02</t>
        </is>
      </c>
      <c r="AE21" s="175" t="inlineStr">
        <is>
          <t>-</t>
        </is>
      </c>
      <c r="AF21" s="174" t="inlineStr">
        <is>
          <t>-</t>
        </is>
      </c>
    </row>
    <row r="22" ht="15.75" customHeight="1">
      <c r="A22" s="3" t="n">
        <v>18</v>
      </c>
      <c r="B22" s="3" t="inlineStr">
        <is>
          <t>CPO690</t>
        </is>
      </c>
      <c r="C22" s="4" t="inlineStr">
        <is>
          <t>Christie</t>
        </is>
      </c>
      <c r="D22" s="3" t="inlineStr">
        <is>
          <t>Net 45 days</t>
        </is>
      </c>
      <c r="E22" s="4" t="inlineStr">
        <is>
          <t>부품</t>
        </is>
      </c>
      <c r="F22" s="174" t="n">
        <v>46050</v>
      </c>
      <c r="G22" s="175" t="n">
        <v>46113</v>
      </c>
      <c r="H22" s="7" t="n">
        <v>9740</v>
      </c>
      <c r="I22" s="33" t="n">
        <v>1505.7</v>
      </c>
      <c r="J22" s="9" t="n">
        <v>14665518</v>
      </c>
      <c r="K22" s="9" t="n">
        <v>14665518</v>
      </c>
      <c r="L22" s="9" t="n">
        <v>3544</v>
      </c>
      <c r="M22" s="9" t="n">
        <v>2268</v>
      </c>
      <c r="N22" s="3" t="inlineStr">
        <is>
          <t>ASSY Liquid Cooling (20EA)</t>
        </is>
      </c>
      <c r="O22" s="175" t="n">
        <v>46053</v>
      </c>
      <c r="P22" s="3" t="inlineStr">
        <is>
          <t>2235626096487M</t>
        </is>
      </c>
      <c r="Q22" s="7">
        <f>IF(P22="","",IFERROR(VLOOKUP(O22,FxRateTable,4,TRUE),""))</f>
        <v/>
      </c>
      <c r="R22" s="7">
        <f>IF(P22="","",H22)</f>
        <v/>
      </c>
      <c r="S22" s="9" t="n">
        <v>0</v>
      </c>
      <c r="T22" s="9" t="n">
        <v>1493440</v>
      </c>
      <c r="U22" s="174" t="n">
        <v>46067</v>
      </c>
      <c r="V22" s="3" t="inlineStr">
        <is>
          <t>-</t>
        </is>
      </c>
      <c r="W22" s="9" t="n">
        <v>0</v>
      </c>
      <c r="X22" s="4" t="inlineStr">
        <is>
          <t>DHL</t>
        </is>
      </c>
      <c r="Y22" s="9" t="n">
        <v>1561040</v>
      </c>
      <c r="Z22" s="9">
        <f>S22+W22</f>
        <v/>
      </c>
      <c r="AA22" s="10">
        <f>K22+L22+M22+IFERROR(VLOOKUP(B22,RemitTable2,9,FALSE),0)+Y22+Z22</f>
        <v/>
      </c>
      <c r="AB22" s="11" t="n">
        <v>20</v>
      </c>
      <c r="AC22" s="10">
        <f>ROUND(AA22/AB22,0)</f>
        <v/>
      </c>
      <c r="AD22" s="3" t="inlineStr">
        <is>
          <t>2026-01</t>
        </is>
      </c>
      <c r="AE22" s="175" t="inlineStr">
        <is>
          <t>-</t>
        </is>
      </c>
      <c r="AF22" s="174" t="inlineStr">
        <is>
          <t>-</t>
        </is>
      </c>
    </row>
    <row r="23" ht="15.75" customHeight="1">
      <c r="A23" s="12" t="n">
        <v>19</v>
      </c>
      <c r="B23" s="12" t="inlineStr">
        <is>
          <t>CPO693</t>
        </is>
      </c>
      <c r="C23" s="13" t="inlineStr">
        <is>
          <t>Christie</t>
        </is>
      </c>
      <c r="D23" s="12" t="inlineStr">
        <is>
          <t>Net 45 days</t>
        </is>
      </c>
      <c r="E23" s="13" t="inlineStr">
        <is>
          <t>장비</t>
        </is>
      </c>
      <c r="F23" s="176" t="n">
        <v>46071</v>
      </c>
      <c r="G23" s="177" t="inlineStr">
        <is>
          <t>-</t>
        </is>
      </c>
      <c r="H23" s="16" t="n">
        <v>35674</v>
      </c>
      <c r="I23" s="178">
        <f>IFERROR(VLOOKUP(B23,RemitTable2,7,FALSE),0)</f>
        <v/>
      </c>
      <c r="J23" s="18" t="n">
        <v>0</v>
      </c>
      <c r="K23" s="18">
        <f>IFERROR(ROUND(H23*I23,0),0)</f>
        <v/>
      </c>
      <c r="L23" s="18">
        <f>IFERROR(VLOOKUP(B23,RemitTable2,10,FALSE),0)</f>
        <v/>
      </c>
      <c r="M23" s="18">
        <f>IFERROR(VLOOKUP(B23,RemitTable2,11,FALSE),0)</f>
        <v/>
      </c>
      <c r="N23" s="12" t="inlineStr">
        <is>
          <t>Projector (한국)</t>
        </is>
      </c>
      <c r="O23" s="177" t="n"/>
      <c r="P23" s="12" t="n"/>
      <c r="Q23" s="18">
        <f>IF(P23="","",IFERROR(VLOOKUP(O23,FxRateTable,4,TRUE),""))</f>
        <v/>
      </c>
      <c r="R23" s="18">
        <f>IF(P23="","",H23)</f>
        <v/>
      </c>
      <c r="S23" s="18" t="n">
        <v>0</v>
      </c>
      <c r="T23" s="18" t="n">
        <v>0</v>
      </c>
      <c r="U23" s="176" t="n"/>
      <c r="V23" s="12" t="inlineStr">
        <is>
          <t>-</t>
        </is>
      </c>
      <c r="W23" s="18" t="n">
        <v>0</v>
      </c>
      <c r="X23" s="13" t="inlineStr">
        <is>
          <t>-</t>
        </is>
      </c>
      <c r="Y23" s="18" t="n">
        <v>0</v>
      </c>
      <c r="Z23" s="18">
        <f>S23+W23</f>
        <v/>
      </c>
      <c r="AA23" s="18">
        <f>K23+L23+M23+IFERROR(VLOOKUP(B23,RemitTable2,9,FALSE),0)+Y23+Z23</f>
        <v/>
      </c>
      <c r="AB23" s="19" t="n">
        <v>1</v>
      </c>
      <c r="AC23" s="18">
        <f>ROUND(AA23/AB23,0)</f>
        <v/>
      </c>
      <c r="AD23" s="12" t="n"/>
      <c r="AE23" s="177" t="inlineStr">
        <is>
          <t>-</t>
        </is>
      </c>
      <c r="AF23" s="176" t="inlineStr">
        <is>
          <t>-</t>
        </is>
      </c>
    </row>
    <row r="24" ht="15.75" customHeight="1">
      <c r="A24" s="3" t="n">
        <v>20</v>
      </c>
      <c r="B24" s="3" t="inlineStr">
        <is>
          <t>GPO468-1</t>
        </is>
      </c>
      <c r="C24" s="4" t="inlineStr">
        <is>
          <t>GDC</t>
        </is>
      </c>
      <c r="D24" s="3" t="inlineStr">
        <is>
          <t>Net 30 days</t>
        </is>
      </c>
      <c r="E24" s="4" t="inlineStr">
        <is>
          <t>장비</t>
        </is>
      </c>
      <c r="F24" s="174" t="n">
        <v>46080</v>
      </c>
      <c r="G24" s="175" t="n">
        <v>46126</v>
      </c>
      <c r="H24" s="7" t="n">
        <v>36190</v>
      </c>
      <c r="I24" s="33" t="n">
        <v>1481.9</v>
      </c>
      <c r="J24" s="9" t="n">
        <v>53629961</v>
      </c>
      <c r="K24" s="9" t="n">
        <v>53629961</v>
      </c>
      <c r="L24" s="9" t="n">
        <v>7847</v>
      </c>
      <c r="M24" s="9" t="n">
        <v>5022</v>
      </c>
      <c r="N24" s="3" t="inlineStr">
        <is>
          <t>SR-1000 IMB (10EA)</t>
        </is>
      </c>
      <c r="O24" s="175" t="n">
        <v>46095</v>
      </c>
      <c r="P24" s="3" t="inlineStr">
        <is>
          <t>1400826101085M</t>
        </is>
      </c>
      <c r="Q24" s="7">
        <f>IF(P24="","",IFERROR(VLOOKUP(O24,FxRateTable,4,TRUE),""))</f>
        <v/>
      </c>
      <c r="R24" s="7">
        <f>IF(P24="","",H24)</f>
        <v/>
      </c>
      <c r="S24" s="9" t="n">
        <v>0</v>
      </c>
      <c r="T24" s="9" t="n">
        <v>5395574</v>
      </c>
      <c r="U24" s="174" t="n">
        <v>46110</v>
      </c>
      <c r="V24" s="3" t="inlineStr">
        <is>
          <t>조운관세사</t>
        </is>
      </c>
      <c r="W24" s="9" t="n">
        <v>137864</v>
      </c>
      <c r="X24" s="4" t="inlineStr">
        <is>
          <t>진로직스</t>
        </is>
      </c>
      <c r="Y24" s="9" t="n">
        <v>1232133</v>
      </c>
      <c r="Z24" s="9">
        <f>S24+W24</f>
        <v/>
      </c>
      <c r="AA24" s="10">
        <f>K24+L24+M24+IFERROR(VLOOKUP(B24,RemitTable2,9,FALSE),0)+Y24+Z24</f>
        <v/>
      </c>
      <c r="AB24" s="11" t="n">
        <v>10</v>
      </c>
      <c r="AC24" s="10">
        <f>ROUND(AA24/AB24,0)</f>
        <v/>
      </c>
      <c r="AD24" s="3" t="inlineStr">
        <is>
          <t>2026-03</t>
        </is>
      </c>
      <c r="AE24" s="175" t="inlineStr">
        <is>
          <t>-</t>
        </is>
      </c>
      <c r="AF24" s="174" t="inlineStr">
        <is>
          <t>-</t>
        </is>
      </c>
    </row>
    <row r="25" ht="15.75" customHeight="1">
      <c r="A25" s="3" t="n">
        <v>21</v>
      </c>
      <c r="B25" s="3" t="inlineStr">
        <is>
          <t>GPO472</t>
        </is>
      </c>
      <c r="C25" s="4" t="inlineStr">
        <is>
          <t>GDC</t>
        </is>
      </c>
      <c r="D25" s="3" t="inlineStr">
        <is>
          <t>Net 30 days</t>
        </is>
      </c>
      <c r="E25" s="4" t="inlineStr">
        <is>
          <t>부품</t>
        </is>
      </c>
      <c r="F25" s="174" t="n">
        <v>46088</v>
      </c>
      <c r="G25" s="175" t="n">
        <v>46126</v>
      </c>
      <c r="H25" s="7" t="n">
        <v>180</v>
      </c>
      <c r="I25" s="33" t="n">
        <v>1481.9</v>
      </c>
      <c r="J25" s="9" t="n">
        <v>266742</v>
      </c>
      <c r="K25" s="9" t="n">
        <v>266742</v>
      </c>
      <c r="L25" s="9" t="n">
        <v>39</v>
      </c>
      <c r="M25" s="9" t="n">
        <v>25</v>
      </c>
      <c r="N25" s="3" t="inlineStr">
        <is>
          <t>SR-1000 Coverplate (3EA)</t>
        </is>
      </c>
      <c r="O25" s="175" t="n">
        <v>46095</v>
      </c>
      <c r="P25" s="3" t="inlineStr">
        <is>
          <t>1400826101085M</t>
        </is>
      </c>
      <c r="Q25" s="7">
        <f>IF(P25="","",IFERROR(VLOOKUP(O25,FxRateTable,4,TRUE),""))</f>
        <v/>
      </c>
      <c r="R25" s="7">
        <f>IF(P25="","",H25)</f>
        <v/>
      </c>
      <c r="S25" s="9" t="n">
        <v>0</v>
      </c>
      <c r="T25" s="9" t="n">
        <v>26836</v>
      </c>
      <c r="U25" s="174" t="n">
        <v>46110</v>
      </c>
      <c r="V25" s="3" t="inlineStr">
        <is>
          <t>조운관세사</t>
        </is>
      </c>
      <c r="W25" s="9" t="n">
        <v>536</v>
      </c>
      <c r="X25" s="4" t="inlineStr">
        <is>
          <t>진로직스</t>
        </is>
      </c>
      <c r="Y25" s="9" t="n">
        <v>6128</v>
      </c>
      <c r="Z25" s="9">
        <f>S25+W25</f>
        <v/>
      </c>
      <c r="AA25" s="10">
        <f>K25+L25+M25+IFERROR(VLOOKUP(B25,RemitTable2,9,FALSE),0)+Y25+Z25</f>
        <v/>
      </c>
      <c r="AB25" s="11" t="n">
        <v>3</v>
      </c>
      <c r="AC25" s="10">
        <f>ROUND(AA25/AB25,0)</f>
        <v/>
      </c>
      <c r="AD25" s="3" t="inlineStr">
        <is>
          <t>2026-03</t>
        </is>
      </c>
      <c r="AE25" s="175" t="inlineStr">
        <is>
          <t>-</t>
        </is>
      </c>
      <c r="AF25" s="174" t="inlineStr">
        <is>
          <t>-</t>
        </is>
      </c>
    </row>
    <row r="26" ht="15.75" customHeight="1">
      <c r="A26" s="3" t="n">
        <v>22</v>
      </c>
      <c r="B26" s="3" t="inlineStr">
        <is>
          <t>GPO468-2</t>
        </is>
      </c>
      <c r="C26" s="4" t="inlineStr">
        <is>
          <t>GDC</t>
        </is>
      </c>
      <c r="D26" s="3" t="inlineStr">
        <is>
          <t>Net 30 days</t>
        </is>
      </c>
      <c r="E26" s="4" t="inlineStr">
        <is>
          <t>장비</t>
        </is>
      </c>
      <c r="F26" s="174" t="n">
        <v>46088</v>
      </c>
      <c r="G26" s="175" t="n">
        <v>46126</v>
      </c>
      <c r="H26" s="7" t="n">
        <v>21280</v>
      </c>
      <c r="I26" s="33" t="n">
        <v>1481.9</v>
      </c>
      <c r="J26" s="9" t="n">
        <v>31534832</v>
      </c>
      <c r="K26" s="9" t="n">
        <v>31534832</v>
      </c>
      <c r="L26" s="9" t="n">
        <v>4614</v>
      </c>
      <c r="M26" s="9" t="n">
        <v>2953</v>
      </c>
      <c r="N26" s="3" t="inlineStr">
        <is>
          <t>IMB</t>
        </is>
      </c>
      <c r="O26" s="175" t="n">
        <v>46104</v>
      </c>
      <c r="P26" s="3" t="inlineStr">
        <is>
          <t>2317626258975M</t>
        </is>
      </c>
      <c r="Q26" s="7">
        <f>IF(P26="","",IFERROR(VLOOKUP(O26,FxRateTable,4,TRUE),""))</f>
        <v/>
      </c>
      <c r="R26" s="7">
        <f>IF(P26="","",H26)</f>
        <v/>
      </c>
      <c r="S26" s="9" t="n">
        <v>0</v>
      </c>
      <c r="T26" s="9" t="n">
        <v>4747530</v>
      </c>
      <c r="U26" s="174" t="n">
        <v>46119</v>
      </c>
      <c r="V26" s="3" t="inlineStr">
        <is>
          <t>-</t>
        </is>
      </c>
      <c r="W26" s="9" t="n">
        <v>0</v>
      </c>
      <c r="X26" s="4" t="inlineStr">
        <is>
          <t>Fedex</t>
        </is>
      </c>
      <c r="Y26" s="9" t="n">
        <v>904960</v>
      </c>
      <c r="Z26" s="9">
        <f>S26+W26</f>
        <v/>
      </c>
      <c r="AA26" s="10">
        <f>K26+L26+M26+IFERROR(VLOOKUP(B26,RemitTable2,9,FALSE),0)+Y26+Z26</f>
        <v/>
      </c>
      <c r="AB26" s="11" t="n">
        <v>4</v>
      </c>
      <c r="AC26" s="10">
        <f>ROUND(AA26/AB26,0)</f>
        <v/>
      </c>
      <c r="AD26" s="3" t="inlineStr">
        <is>
          <t>2026-03</t>
        </is>
      </c>
      <c r="AE26" s="175" t="inlineStr">
        <is>
          <t>-</t>
        </is>
      </c>
      <c r="AF26" s="174" t="inlineStr">
        <is>
          <t>-</t>
        </is>
      </c>
    </row>
    <row r="27" ht="15.75" customHeight="1">
      <c r="A27" s="3" t="n">
        <v>23</v>
      </c>
      <c r="B27" s="3" t="inlineStr">
        <is>
          <t>CPO695-1</t>
        </is>
      </c>
      <c r="C27" s="4" t="inlineStr">
        <is>
          <t>Christie</t>
        </is>
      </c>
      <c r="D27" s="3" t="inlineStr">
        <is>
          <t>Net 45 days</t>
        </is>
      </c>
      <c r="E27" s="4" t="inlineStr">
        <is>
          <t>부품(Fan)</t>
        </is>
      </c>
      <c r="F27" s="174" t="n">
        <v>46098</v>
      </c>
      <c r="G27" s="175" t="n">
        <v>46146</v>
      </c>
      <c r="H27" s="7" t="n">
        <v>2058</v>
      </c>
      <c r="I27" s="33" t="n">
        <v>1474.9</v>
      </c>
      <c r="J27" s="9" t="n">
        <v>3035344</v>
      </c>
      <c r="K27" s="9" t="n">
        <v>3035344</v>
      </c>
      <c r="L27" s="9" t="n">
        <v>1200</v>
      </c>
      <c r="M27" s="9" t="n">
        <v>768</v>
      </c>
      <c r="N27" s="3" t="inlineStr">
        <is>
          <t>Fan (7EA)</t>
        </is>
      </c>
      <c r="O27" s="175" t="n">
        <v>46105</v>
      </c>
      <c r="P27" s="3" t="inlineStr">
        <is>
          <t>2235626283517M</t>
        </is>
      </c>
      <c r="Q27" s="7">
        <f>IF(P27="","",IFERROR(VLOOKUP(O27,FxRateTable,4,TRUE),""))</f>
        <v/>
      </c>
      <c r="R27" s="7">
        <f>IF(P27="","",H27)</f>
        <v/>
      </c>
      <c r="S27" s="9" t="n">
        <v>0</v>
      </c>
      <c r="T27" s="9" t="n">
        <v>350480</v>
      </c>
      <c r="U27" s="174" t="n">
        <v>46120</v>
      </c>
      <c r="V27" s="3" t="inlineStr">
        <is>
          <t>운서합동</t>
        </is>
      </c>
      <c r="W27" s="9" t="n">
        <v>0</v>
      </c>
      <c r="X27" s="4" t="inlineStr">
        <is>
          <t>DHL</t>
        </is>
      </c>
      <c r="Y27" s="9" t="n">
        <v>6264783</v>
      </c>
      <c r="Z27" s="9">
        <f>S27+W27</f>
        <v/>
      </c>
      <c r="AA27" s="10">
        <f>K27+L27+M27+IFERROR(VLOOKUP(B27,RemitTable2,9,FALSE),0)+Y27+Z27</f>
        <v/>
      </c>
      <c r="AB27" s="11" t="n">
        <v>7</v>
      </c>
      <c r="AC27" s="10">
        <f>ROUND(AA27/AB27,0)</f>
        <v/>
      </c>
      <c r="AD27" s="3" t="inlineStr">
        <is>
          <t>2026-03</t>
        </is>
      </c>
      <c r="AE27" s="175" t="inlineStr">
        <is>
          <t>-</t>
        </is>
      </c>
      <c r="AF27" s="174" t="inlineStr">
        <is>
          <t>-</t>
        </is>
      </c>
    </row>
    <row r="28" ht="15.75" customHeight="1">
      <c r="A28" s="3" t="n">
        <v>24</v>
      </c>
      <c r="B28" s="3" t="inlineStr">
        <is>
          <t>CPO695-2</t>
        </is>
      </c>
      <c r="C28" s="4" t="inlineStr">
        <is>
          <t>Christie</t>
        </is>
      </c>
      <c r="D28" s="3" t="inlineStr">
        <is>
          <t>Net 45 days</t>
        </is>
      </c>
      <c r="E28" s="4" t="inlineStr">
        <is>
          <t>부품(Filter)</t>
        </is>
      </c>
      <c r="F28" s="174" t="n">
        <v>46098</v>
      </c>
      <c r="G28" s="175" t="n">
        <v>46146</v>
      </c>
      <c r="H28" s="7" t="n">
        <v>1977</v>
      </c>
      <c r="I28" s="33" t="n">
        <v>1474.9</v>
      </c>
      <c r="J28" s="9" t="n">
        <v>2915877</v>
      </c>
      <c r="K28" s="9" t="n">
        <v>2915877</v>
      </c>
      <c r="L28" s="9" t="n">
        <v>1153</v>
      </c>
      <c r="M28" s="9" t="n">
        <v>738</v>
      </c>
      <c r="N28" s="3" t="inlineStr">
        <is>
          <t>Filter(11EA)+Fan(5EA)</t>
        </is>
      </c>
      <c r="O28" s="175" t="n">
        <v>46104</v>
      </c>
      <c r="P28" s="3" t="inlineStr">
        <is>
          <t>2235626277307M</t>
        </is>
      </c>
      <c r="Q28" s="7">
        <f>IF(P28="","",IFERROR(VLOOKUP(O28,FxRateTable,4,TRUE),""))</f>
        <v/>
      </c>
      <c r="R28" s="7">
        <f>IF(P28="","",H28)</f>
        <v/>
      </c>
      <c r="S28" s="9" t="n">
        <v>50790</v>
      </c>
      <c r="T28" s="9" t="n">
        <v>317310</v>
      </c>
      <c r="U28" s="174" t="n">
        <v>46119</v>
      </c>
      <c r="V28" s="3" t="inlineStr">
        <is>
          <t>운서합동</t>
        </is>
      </c>
      <c r="W28" s="9" t="n">
        <v>0</v>
      </c>
      <c r="X28" s="4" t="inlineStr">
        <is>
          <t>DHL</t>
        </is>
      </c>
      <c r="Y28" s="9" t="n">
        <v>1454605</v>
      </c>
      <c r="Z28" s="9">
        <f>S28+W28</f>
        <v/>
      </c>
      <c r="AA28" s="10">
        <f>K28+L28+M28+IFERROR(VLOOKUP(B28,RemitTable2,9,FALSE),0)+Y28+Z28</f>
        <v/>
      </c>
      <c r="AB28" s="11" t="n">
        <v>16</v>
      </c>
      <c r="AC28" s="10">
        <f>ROUND(AA28/AB28,0)</f>
        <v/>
      </c>
      <c r="AD28" s="3" t="inlineStr">
        <is>
          <t>2026-03</t>
        </is>
      </c>
      <c r="AE28" s="175" t="inlineStr">
        <is>
          <t>-</t>
        </is>
      </c>
      <c r="AF28" s="174" t="inlineStr">
        <is>
          <t>-</t>
        </is>
      </c>
    </row>
    <row r="29" ht="15.75" customHeight="1">
      <c r="A29" s="3" t="n">
        <v>25</v>
      </c>
      <c r="B29" s="3" t="inlineStr">
        <is>
          <t>CPO698</t>
        </is>
      </c>
      <c r="C29" s="4" t="inlineStr">
        <is>
          <t>Christie</t>
        </is>
      </c>
      <c r="D29" s="3" t="inlineStr">
        <is>
          <t>Net 45 days</t>
        </is>
      </c>
      <c r="E29" s="4" t="inlineStr">
        <is>
          <t>부품(렌즈)</t>
        </is>
      </c>
      <c r="F29" s="174" t="n">
        <v>46106</v>
      </c>
      <c r="G29" s="175" t="n">
        <v>46162</v>
      </c>
      <c r="H29" s="7" t="n">
        <v>4290</v>
      </c>
      <c r="I29" s="33" t="n">
        <v>1510.6</v>
      </c>
      <c r="J29" s="9" t="n">
        <v>6480474</v>
      </c>
      <c r="K29" s="9" t="n">
        <v>6480474</v>
      </c>
      <c r="L29" s="9" t="n">
        <v>7500</v>
      </c>
      <c r="M29" s="9" t="n">
        <v>8000</v>
      </c>
      <c r="N29" s="3" t="inlineStr">
        <is>
          <t>Lens 1.62-2.7 (2EA)</t>
        </is>
      </c>
      <c r="O29" s="175" t="n">
        <v>46122</v>
      </c>
      <c r="P29" s="3" t="inlineStr">
        <is>
          <t>2235626346781M</t>
        </is>
      </c>
      <c r="Q29" s="7">
        <f>IF(P29="","",IFERROR(VLOOKUP(O29,FxRateTable,4,TRUE),""))</f>
        <v/>
      </c>
      <c r="R29" s="7">
        <f>IF(P29="","",H29)</f>
        <v/>
      </c>
      <c r="S29" s="9" t="n">
        <v>524320</v>
      </c>
      <c r="T29" s="9" t="n">
        <v>707830</v>
      </c>
      <c r="U29" s="174" t="n"/>
      <c r="V29" s="3" t="inlineStr">
        <is>
          <t>운서합동</t>
        </is>
      </c>
      <c r="W29" s="9" t="n">
        <v>0</v>
      </c>
      <c r="X29" s="4" t="inlineStr">
        <is>
          <t>DHL</t>
        </is>
      </c>
      <c r="Y29" s="9" t="n">
        <v>174806</v>
      </c>
      <c r="Z29" s="9">
        <f>S29+W29</f>
        <v/>
      </c>
      <c r="AA29" s="10">
        <f>K29+L29+M29+IFERROR(VLOOKUP(B29,RemitTable2,9,FALSE),0)+Y29+Z29</f>
        <v/>
      </c>
      <c r="AB29" s="11" t="n">
        <v>2</v>
      </c>
      <c r="AC29" s="10">
        <f>ROUND(AA29/AB29,0)</f>
        <v/>
      </c>
      <c r="AD29" s="3" t="inlineStr">
        <is>
          <t>2026-04</t>
        </is>
      </c>
      <c r="AE29" s="175" t="n"/>
      <c r="AF29" s="174" t="n"/>
    </row>
    <row r="30" ht="15.75" customHeight="1">
      <c r="A30" s="78" t="n">
        <v>26</v>
      </c>
      <c r="B30" s="78" t="inlineStr">
        <is>
          <t>CPO696-1</t>
        </is>
      </c>
      <c r="C30" s="78" t="inlineStr">
        <is>
          <t>Christie</t>
        </is>
      </c>
      <c r="D30" s="78" t="inlineStr">
        <is>
          <t>Net 45 days</t>
        </is>
      </c>
      <c r="E30" s="78" t="inlineStr">
        <is>
          <t>장비</t>
        </is>
      </c>
      <c r="F30" s="179" t="n">
        <v>46113</v>
      </c>
      <c r="G30" s="179" t="n">
        <v>46171</v>
      </c>
      <c r="H30" s="80" t="n">
        <v>78209</v>
      </c>
      <c r="I30" s="180" t="n">
        <v>1502.7</v>
      </c>
      <c r="J30" s="82" t="n">
        <v>117524664</v>
      </c>
      <c r="K30" s="82" t="n">
        <v>117524664</v>
      </c>
      <c r="L30" s="82" t="n">
        <v>9619</v>
      </c>
      <c r="M30" s="82" t="n">
        <v>6156</v>
      </c>
      <c r="N30" s="78" t="inlineStr">
        <is>
          <t>CP4445-RGB Projector 외 (렌탈용)</t>
        </is>
      </c>
      <c r="O30" s="179" t="n">
        <v>46129</v>
      </c>
      <c r="P30" s="78" t="inlineStr">
        <is>
          <t>14008-26-101125M</t>
        </is>
      </c>
      <c r="Q30" s="80">
        <f>IF(P30="","",IFERROR(VLOOKUP(O30,FxRateTable,4,TRUE),""))</f>
        <v/>
      </c>
      <c r="R30" s="80">
        <f>IF(P30="","",H30)</f>
        <v/>
      </c>
      <c r="S30" s="82" t="n">
        <v>67570</v>
      </c>
      <c r="T30" s="82" t="n">
        <v>12073120</v>
      </c>
      <c r="U30" s="179" t="n"/>
      <c r="V30" s="78" t="inlineStr">
        <is>
          <t>조운관세사무소</t>
        </is>
      </c>
      <c r="W30" s="82" t="n">
        <v>286000</v>
      </c>
      <c r="X30" s="78" t="inlineStr">
        <is>
          <t>진로직스</t>
        </is>
      </c>
      <c r="Y30" s="82" t="n">
        <v>3909069</v>
      </c>
      <c r="Z30" s="82">
        <f>S30+W30</f>
        <v/>
      </c>
      <c r="AA30" s="83">
        <f>K30+L30+M30+IFERROR(VLOOKUP(B30,RemitTable2,9,FALSE),0)+Y30+Z30</f>
        <v/>
      </c>
      <c r="AB30" s="84" t="n">
        <v>1</v>
      </c>
      <c r="AC30" s="83">
        <f>ROUND(AA30/AB30,0)</f>
        <v/>
      </c>
      <c r="AD30" s="78" t="inlineStr">
        <is>
          <t>2026-04</t>
        </is>
      </c>
      <c r="AE30" s="179" t="n"/>
      <c r="AF30" s="179" t="n"/>
    </row>
    <row r="31" ht="15.75" customHeight="1">
      <c r="A31" s="78" t="n">
        <v>27</v>
      </c>
      <c r="B31" s="78" t="inlineStr">
        <is>
          <t>CPO696-2</t>
        </is>
      </c>
      <c r="C31" s="78" t="inlineStr">
        <is>
          <t>Christie</t>
        </is>
      </c>
      <c r="D31" s="78" t="inlineStr">
        <is>
          <t>Net 45 days</t>
        </is>
      </c>
      <c r="E31" s="78" t="inlineStr">
        <is>
          <t>장비</t>
        </is>
      </c>
      <c r="F31" s="179" t="n">
        <v>46113</v>
      </c>
      <c r="G31" s="179" t="n">
        <v>46171</v>
      </c>
      <c r="H31" s="80" t="n">
        <v>8140</v>
      </c>
      <c r="I31" s="180" t="n">
        <v>1502.7</v>
      </c>
      <c r="J31" s="82" t="n">
        <v>12231978</v>
      </c>
      <c r="K31" s="82" t="n">
        <v>12231978</v>
      </c>
      <c r="L31" s="82" t="n">
        <v>1001</v>
      </c>
      <c r="M31" s="82" t="n">
        <v>641</v>
      </c>
      <c r="N31" s="78" t="inlineStr">
        <is>
          <t>SMC Chiller HRS-040 외</t>
        </is>
      </c>
      <c r="O31" s="179" t="n">
        <v>46132</v>
      </c>
      <c r="P31" s="78" t="inlineStr">
        <is>
          <t>14008-26-101129M</t>
        </is>
      </c>
      <c r="Q31" s="80">
        <f>IF(P31="","",IFERROR(VLOOKUP(O31,FxRateTable,4,TRUE),""))</f>
        <v/>
      </c>
      <c r="R31" s="80">
        <f>IF(P31="","",H31)</f>
        <v/>
      </c>
      <c r="S31" s="82" t="n">
        <v>1019820</v>
      </c>
      <c r="T31" s="82" t="n">
        <v>1376760</v>
      </c>
      <c r="U31" s="179" t="n"/>
      <c r="V31" s="78" t="inlineStr">
        <is>
          <t>조운관세사무소</t>
        </is>
      </c>
      <c r="W31" s="82" t="n">
        <v>33000</v>
      </c>
      <c r="X31" s="78" t="inlineStr">
        <is>
          <t>진로직스</t>
        </is>
      </c>
      <c r="Y31" s="82" t="n">
        <v>846621</v>
      </c>
      <c r="Z31" s="82">
        <f>S31+W31</f>
        <v/>
      </c>
      <c r="AA31" s="83">
        <f>K31+L31+M31+IFERROR(VLOOKUP(B31,RemitTable2,9,FALSE),0)+Y31+Z31</f>
        <v/>
      </c>
      <c r="AB31" s="84" t="n">
        <v>1</v>
      </c>
      <c r="AC31" s="83">
        <f>ROUND(AA31/AB31,0)</f>
        <v/>
      </c>
      <c r="AD31" s="78" t="inlineStr">
        <is>
          <t>2026-04</t>
        </is>
      </c>
      <c r="AE31" s="179" t="n"/>
      <c r="AF31" s="179" t="n"/>
    </row>
    <row r="32" ht="15.75" customHeight="1">
      <c r="A32" s="78" t="n">
        <v>28</v>
      </c>
      <c r="B32" s="78" t="inlineStr">
        <is>
          <t>EPO18</t>
        </is>
      </c>
      <c r="C32" s="78" t="inlineStr">
        <is>
          <t>MAICO Italia</t>
        </is>
      </c>
      <c r="D32" s="78" t="inlineStr">
        <is>
          <t>100% TT in advance</t>
        </is>
      </c>
      <c r="E32" s="78" t="inlineStr">
        <is>
          <t>부품</t>
        </is>
      </c>
      <c r="F32" s="179" t="n">
        <v>46132</v>
      </c>
      <c r="G32" s="179" t="n">
        <v>46134</v>
      </c>
      <c r="H32" s="80" t="n">
        <v>4388.4</v>
      </c>
      <c r="I32" s="180" t="n">
        <v>1741.08</v>
      </c>
      <c r="J32" s="82" t="n">
        <v>7640555</v>
      </c>
      <c r="K32" s="82" t="n">
        <v>7640555</v>
      </c>
      <c r="L32" s="82" t="n">
        <v>10000</v>
      </c>
      <c r="M32" s="82" t="n">
        <v>8000</v>
      </c>
      <c r="N32" s="78" t="inlineStr">
        <is>
          <t>AXC 200 ELICENT VENTILATORE/FAN (60EA, EUR)</t>
        </is>
      </c>
      <c r="O32" s="179" t="n"/>
      <c r="P32" s="78" t="n"/>
      <c r="Q32" s="80">
        <f>IF(P32="","",IFERROR(VLOOKUP(O32,FxRateTable,4,TRUE),""))</f>
        <v/>
      </c>
      <c r="R32" s="80">
        <f>IF(P32="","",H32)</f>
        <v/>
      </c>
      <c r="S32" s="82" t="n">
        <v>0</v>
      </c>
      <c r="T32" s="82" t="n">
        <v>0</v>
      </c>
      <c r="U32" s="179" t="n"/>
      <c r="V32" s="78" t="inlineStr">
        <is>
          <t>-</t>
        </is>
      </c>
      <c r="W32" s="82" t="n">
        <v>0</v>
      </c>
      <c r="X32" s="78" t="inlineStr">
        <is>
          <t>-</t>
        </is>
      </c>
      <c r="Y32" s="82" t="n">
        <v>0</v>
      </c>
      <c r="Z32" s="82">
        <f>S32+W32</f>
        <v/>
      </c>
      <c r="AA32" s="83">
        <f>K32+L32+M32+IFERROR(VLOOKUP(B32,RemitTable2,9,FALSE),0)+Y32+Z32</f>
        <v/>
      </c>
      <c r="AB32" s="84" t="n">
        <v>60</v>
      </c>
      <c r="AC32" s="83">
        <f>ROUND(AA32/AB32,0)</f>
        <v/>
      </c>
      <c r="AD32" s="78" t="n"/>
      <c r="AE32" s="179" t="n"/>
      <c r="AF32" s="179" t="n"/>
    </row>
    <row r="33" ht="15.75" customHeight="1">
      <c r="A33" s="124" t="n">
        <v>50</v>
      </c>
      <c r="B33" s="124" t="inlineStr">
        <is>
          <t>CPO696-3</t>
        </is>
      </c>
      <c r="C33" s="124" t="inlineStr">
        <is>
          <t>Christie</t>
        </is>
      </c>
      <c r="D33" s="124" t="inlineStr">
        <is>
          <t>Net 45 days</t>
        </is>
      </c>
      <c r="E33" s="124" t="inlineStr">
        <is>
          <t>장비</t>
        </is>
      </c>
      <c r="F33" s="181" t="n">
        <v>46127</v>
      </c>
      <c r="G33" s="181" t="n">
        <v>46190</v>
      </c>
      <c r="H33" s="126" t="n">
        <v>351274</v>
      </c>
      <c r="I33" s="126" t="n">
        <v>1518</v>
      </c>
      <c r="J33" s="128" t="n">
        <v>533233932</v>
      </c>
      <c r="K33" s="128" t="n">
        <v>533233932</v>
      </c>
      <c r="L33" s="128" t="n">
        <v>12500</v>
      </c>
      <c r="M33" s="128" t="n">
        <v>8000</v>
      </c>
      <c r="N33" s="129" t="n"/>
      <c r="O33" s="182" t="n">
        <v>46141</v>
      </c>
      <c r="P33" s="129" t="inlineStr">
        <is>
          <t>14008-26-101140M</t>
        </is>
      </c>
      <c r="Q33" s="126">
        <f>IF(P33="","",IFERROR(VLOOKUP(O33,FxRateTable,4,TRUE),""))</f>
        <v/>
      </c>
      <c r="R33" s="126">
        <f>IF(P33="","",H33)</f>
        <v/>
      </c>
      <c r="S33" s="128" t="n">
        <v>522900</v>
      </c>
      <c r="T33" s="128" t="n">
        <v>52140300</v>
      </c>
      <c r="U33" s="181" t="n"/>
      <c r="V33" s="129" t="inlineStr">
        <is>
          <t>조운관세사무소</t>
        </is>
      </c>
      <c r="W33" s="128" t="n">
        <v>250000</v>
      </c>
      <c r="X33" s="124" t="inlineStr">
        <is>
          <t>조운관세사무소</t>
        </is>
      </c>
      <c r="Y33" s="128" t="n">
        <v>3103207</v>
      </c>
      <c r="Z33" s="128">
        <f>S33+W33</f>
        <v/>
      </c>
      <c r="AA33" s="131">
        <f>K33+L33+M33+IFERROR(VLOOKUP(B33,RemitTable2,9,FALSE),0)+Y33+Z33</f>
        <v/>
      </c>
      <c r="AB33" s="167" t="n">
        <v>8</v>
      </c>
      <c r="AC33" s="131">
        <f>ROUND(AA33/AB33,0)</f>
        <v/>
      </c>
      <c r="AD33" s="129" t="inlineStr">
        <is>
          <t>2026-04</t>
        </is>
      </c>
      <c r="AE33" s="182" t="n"/>
      <c r="AF33" s="182" t="n"/>
    </row>
    <row r="34" ht="15.75" customHeight="1">
      <c r="A34" s="124" t="n">
        <v>51</v>
      </c>
      <c r="B34" s="124" t="inlineStr">
        <is>
          <t>CPO696-4</t>
        </is>
      </c>
      <c r="C34" s="124" t="inlineStr">
        <is>
          <t>Christie</t>
        </is>
      </c>
      <c r="D34" s="124" t="inlineStr">
        <is>
          <t>Net 45 days</t>
        </is>
      </c>
      <c r="E34" s="124" t="inlineStr">
        <is>
          <t>장비</t>
        </is>
      </c>
      <c r="F34" s="181" t="n">
        <v>46143</v>
      </c>
      <c r="G34" s="181" t="inlineStr">
        <is>
          <t>-</t>
        </is>
      </c>
      <c r="H34" s="126" t="n">
        <v>807233</v>
      </c>
      <c r="I34" s="126">
        <f>IFERROR(VLOOKUP(B34,RemitTable2,7,FALSE),0)</f>
        <v/>
      </c>
      <c r="J34" s="128" t="n">
        <v>0</v>
      </c>
      <c r="K34" s="128">
        <f>IFERROR(ROUND(H34*I34,0),0)</f>
        <v/>
      </c>
      <c r="L34" s="128">
        <f>IFERROR(VLOOKUP(B34,RemitTable2,10,FALSE),0)</f>
        <v/>
      </c>
      <c r="M34" s="128">
        <f>IFERROR(VLOOKUP(B34,RemitTable2,11,FALSE),0)</f>
        <v/>
      </c>
      <c r="N34" s="129" t="n"/>
      <c r="O34" s="182" t="n">
        <v>46157</v>
      </c>
      <c r="P34" s="129" t="inlineStr">
        <is>
          <t>14008-26-101168M</t>
        </is>
      </c>
      <c r="Q34" s="126">
        <f>IF(P34="","",IFERROR(VLOOKUP(O34,FxRateTable,4,TRUE),""))</f>
        <v/>
      </c>
      <c r="R34" s="126">
        <f>IF(P34="","",H34)</f>
        <v/>
      </c>
      <c r="S34" s="128" t="n">
        <v>1229900</v>
      </c>
      <c r="T34" s="128" t="n">
        <v>118665800</v>
      </c>
      <c r="U34" s="181" t="n"/>
      <c r="V34" s="129" t="inlineStr">
        <is>
          <t>조운관세사무소</t>
        </is>
      </c>
      <c r="W34" s="128" t="n">
        <v>250000</v>
      </c>
      <c r="X34" s="124" t="inlineStr">
        <is>
          <t>조운관세사무소</t>
        </is>
      </c>
      <c r="Y34" s="128" t="n">
        <v>3270326</v>
      </c>
      <c r="Z34" s="128">
        <f>S34+W34</f>
        <v/>
      </c>
      <c r="AA34" s="131">
        <f>K34+L34+M34+IFERROR(VLOOKUP(B34,RemitTable2,9,FALSE),0)+Y34+Z34</f>
        <v/>
      </c>
      <c r="AB34" s="167" t="n">
        <v>19</v>
      </c>
      <c r="AC34" s="131">
        <f>ROUND(AA34/AB34,0)</f>
        <v/>
      </c>
      <c r="AD34" s="129" t="inlineStr">
        <is>
          <t>2026-05</t>
        </is>
      </c>
      <c r="AE34" s="182" t="n"/>
      <c r="AF34" s="182" t="n"/>
    </row>
    <row r="35" ht="15.75" customHeight="1">
      <c r="A35" s="124" t="n">
        <v>52</v>
      </c>
      <c r="B35" s="124" t="inlineStr">
        <is>
          <t>GPO473-1</t>
        </is>
      </c>
      <c r="C35" s="124" t="inlineStr">
        <is>
          <t>GDC</t>
        </is>
      </c>
      <c r="D35" s="124" t="inlineStr">
        <is>
          <t>Net 30 days</t>
        </is>
      </c>
      <c r="E35" s="124" t="inlineStr">
        <is>
          <t>장비</t>
        </is>
      </c>
      <c r="F35" s="181" t="n">
        <v>46113</v>
      </c>
      <c r="G35" s="181" t="n">
        <v>46171</v>
      </c>
      <c r="H35" s="126" t="n">
        <v>98800</v>
      </c>
      <c r="I35" s="126" t="n">
        <v>1502.8</v>
      </c>
      <c r="J35" s="128" t="n">
        <v>148476640</v>
      </c>
      <c r="K35" s="128" t="n">
        <v>148476640</v>
      </c>
      <c r="L35" s="128" t="n">
        <v>12457</v>
      </c>
      <c r="M35" s="128" t="n">
        <v>7973</v>
      </c>
      <c r="N35" s="129" t="n"/>
      <c r="O35" s="182" t="n">
        <v>46146</v>
      </c>
      <c r="P35" s="129" t="inlineStr">
        <is>
          <t>14008-26-101148M</t>
        </is>
      </c>
      <c r="Q35" s="126">
        <f>IF(P35="","",IFERROR(VLOOKUP(O35,FxRateTable,4,TRUE),""))</f>
        <v/>
      </c>
      <c r="R35" s="126">
        <f>IF(P35="","",H35)</f>
        <v/>
      </c>
      <c r="S35" s="128" t="n">
        <v>0</v>
      </c>
      <c r="T35" s="128" t="n">
        <v>14902330</v>
      </c>
      <c r="U35" s="181" t="n"/>
      <c r="V35" s="129" t="inlineStr">
        <is>
          <t>조운관세사무소</t>
        </is>
      </c>
      <c r="W35" s="128" t="n">
        <v>250000</v>
      </c>
      <c r="X35" s="124" t="inlineStr">
        <is>
          <t>조운관세사무소</t>
        </is>
      </c>
      <c r="Y35" s="128" t="n">
        <v>3636072</v>
      </c>
      <c r="Z35" s="128">
        <f>S35+W35</f>
        <v/>
      </c>
      <c r="AA35" s="131">
        <f>K35+L35+M35+IFERROR(VLOOKUP(B35,RemitTable2,9,FALSE),0)+Y35+Z35</f>
        <v/>
      </c>
      <c r="AB35" s="167" t="n">
        <v>20</v>
      </c>
      <c r="AC35" s="131">
        <f>ROUND(AA35/AB35,0)</f>
        <v/>
      </c>
      <c r="AD35" s="129" t="inlineStr">
        <is>
          <t>2026-05</t>
        </is>
      </c>
      <c r="AE35" s="182" t="n"/>
      <c r="AF35" s="182" t="n"/>
    </row>
    <row r="36" ht="15.75" customHeight="1">
      <c r="A36" s="124" t="n">
        <v>53</v>
      </c>
      <c r="B36" s="124" t="inlineStr">
        <is>
          <t>GPO479</t>
        </is>
      </c>
      <c r="C36" s="124" t="inlineStr">
        <is>
          <t>GDC</t>
        </is>
      </c>
      <c r="D36" s="124" t="inlineStr">
        <is>
          <t>Net 30 days</t>
        </is>
      </c>
      <c r="E36" s="124" t="inlineStr">
        <is>
          <t>부품(Fan)</t>
        </is>
      </c>
      <c r="F36" s="181" t="n">
        <v>46127</v>
      </c>
      <c r="G36" s="181" t="n">
        <v>46171</v>
      </c>
      <c r="H36" s="126" t="n">
        <v>90</v>
      </c>
      <c r="I36" s="126" t="n">
        <v>1502.8</v>
      </c>
      <c r="J36" s="128" t="n">
        <v>135252</v>
      </c>
      <c r="K36" s="128" t="n">
        <v>135252</v>
      </c>
      <c r="L36" s="128" t="n">
        <v>11</v>
      </c>
      <c r="M36" s="128" t="n">
        <v>7</v>
      </c>
      <c r="N36" s="129" t="n"/>
      <c r="O36" s="182" t="n"/>
      <c r="P36" s="129" t="n"/>
      <c r="Q36" s="126">
        <f>IF(P36="","",IFERROR(VLOOKUP(O36,FxRateTable,4,TRUE),""))</f>
        <v/>
      </c>
      <c r="R36" s="126">
        <f>IF(P36="","",H36)</f>
        <v/>
      </c>
      <c r="S36" s="128" t="n">
        <v>0</v>
      </c>
      <c r="T36" s="128" t="n">
        <v>0</v>
      </c>
      <c r="U36" s="181" t="n"/>
      <c r="V36" s="129" t="n"/>
      <c r="W36" s="128" t="n">
        <v>0</v>
      </c>
      <c r="X36" s="124" t="inlineStr">
        <is>
          <t>-</t>
        </is>
      </c>
      <c r="Y36" s="128" t="n">
        <v>0</v>
      </c>
      <c r="Z36" s="128">
        <f>S36+W36</f>
        <v/>
      </c>
      <c r="AA36" s="131">
        <f>K36+L36+M36+IFERROR(VLOOKUP(B36,RemitTable2,9,FALSE),0)+Y36+Z36</f>
        <v/>
      </c>
      <c r="AB36" s="167" t="n">
        <v>1</v>
      </c>
      <c r="AC36" s="131">
        <f>ROUND(AA36/AB36,0)</f>
        <v/>
      </c>
      <c r="AD36" s="129" t="n"/>
      <c r="AE36" s="182" t="n"/>
      <c r="AF36" s="182" t="n"/>
    </row>
    <row r="37" ht="15.75" customHeight="1">
      <c r="A37" s="207" t="n">
        <v>57</v>
      </c>
      <c r="B37" s="207" t="inlineStr">
        <is>
          <t>GPO473-2</t>
        </is>
      </c>
      <c r="C37" s="208" t="inlineStr">
        <is>
          <t>GDC</t>
        </is>
      </c>
      <c r="D37" s="207" t="inlineStr">
        <is>
          <t>Net 30 days</t>
        </is>
      </c>
      <c r="E37" s="208" t="inlineStr">
        <is>
          <t>장비</t>
        </is>
      </c>
      <c r="F37" s="209" t="n">
        <v>46113</v>
      </c>
      <c r="G37" s="210" t="n">
        <v>46183</v>
      </c>
      <c r="H37" s="211" t="n">
        <v>69160</v>
      </c>
      <c r="I37" s="212" t="n">
        <v>1525.3</v>
      </c>
      <c r="J37" s="213" t="n">
        <v>105489748</v>
      </c>
      <c r="K37" s="213" t="n">
        <v>105489748</v>
      </c>
      <c r="L37" s="213" t="n">
        <v>7261</v>
      </c>
      <c r="M37" s="213" t="n">
        <v>4647</v>
      </c>
      <c r="N37" s="207" t="inlineStr">
        <is>
          <t>SR-1000 (4K) Standalone IMB / 14 SET</t>
        </is>
      </c>
      <c r="O37" s="210" t="n">
        <v>46155</v>
      </c>
      <c r="P37" s="207" t="inlineStr">
        <is>
          <t>14008-26-101170M</t>
        </is>
      </c>
      <c r="Q37" s="211">
        <f>IF(P37="","",IFERROR(VLOOKUP(O37,FxRateTable,4,TRUE),""))</f>
        <v/>
      </c>
      <c r="R37" s="211">
        <f>IF(P37="","",H37)</f>
        <v/>
      </c>
      <c r="S37" s="213" t="n">
        <v>0</v>
      </c>
      <c r="T37" s="213" t="n">
        <v>14809460</v>
      </c>
      <c r="U37" s="209" t="n"/>
      <c r="V37" s="207" t="inlineStr">
        <is>
          <t>조운관세사무소</t>
        </is>
      </c>
      <c r="W37" s="213" t="n">
        <v>250000</v>
      </c>
      <c r="X37" s="208" t="inlineStr">
        <is>
          <t>진로직스</t>
        </is>
      </c>
      <c r="Y37" s="213" t="n">
        <v>3759954</v>
      </c>
      <c r="Z37" s="213">
        <f>S37+W37</f>
        <v/>
      </c>
      <c r="AA37" s="214">
        <f>K37+L37+M37+IFERROR(VLOOKUP(B37,RemitTable2,9,FALSE),0)+Y37+Z37</f>
        <v/>
      </c>
      <c r="AB37" s="215" t="n">
        <v>14</v>
      </c>
      <c r="AC37" s="214">
        <f>ROUND(AA37/AB37,0)</f>
        <v/>
      </c>
      <c r="AD37" s="207" t="inlineStr">
        <is>
          <t>2026-05</t>
        </is>
      </c>
      <c r="AE37" s="210" t="n"/>
      <c r="AF37" s="209" t="n"/>
    </row>
    <row r="38" ht="15.75" customHeight="1">
      <c r="A38" s="207" t="n">
        <v>58</v>
      </c>
      <c r="B38" s="207" t="inlineStr">
        <is>
          <t>GPO473-3</t>
        </is>
      </c>
      <c r="C38" s="208" t="inlineStr">
        <is>
          <t>GDC</t>
        </is>
      </c>
      <c r="D38" s="207" t="inlineStr">
        <is>
          <t>Net 30 days</t>
        </is>
      </c>
      <c r="E38" s="208" t="inlineStr">
        <is>
          <t>장비</t>
        </is>
      </c>
      <c r="F38" s="209" t="n">
        <v>46113</v>
      </c>
      <c r="G38" s="210" t="n">
        <v>46183</v>
      </c>
      <c r="H38" s="211" t="n">
        <v>49400</v>
      </c>
      <c r="I38" s="212" t="n">
        <v>1525.3</v>
      </c>
      <c r="J38" s="213" t="n">
        <v>75349820</v>
      </c>
      <c r="K38" s="213" t="n">
        <v>75349820</v>
      </c>
      <c r="L38" s="213" t="n">
        <v>5186</v>
      </c>
      <c r="M38" s="213" t="n">
        <v>3319</v>
      </c>
      <c r="N38" s="207" t="inlineStr">
        <is>
          <t>SR-1000 (4K) Standalone IMB / 10 SET</t>
        </is>
      </c>
      <c r="O38" s="210" t="n">
        <v>46162</v>
      </c>
      <c r="P38" s="207" t="inlineStr">
        <is>
          <t>14008-26-101191M</t>
        </is>
      </c>
      <c r="Q38" s="211">
        <f>IF(P38="","",IFERROR(VLOOKUP(O38,FxRateTable,4,TRUE),""))</f>
        <v/>
      </c>
      <c r="R38" s="211">
        <f>IF(P38="","",H38)</f>
        <v/>
      </c>
      <c r="S38" s="213" t="n">
        <v>0</v>
      </c>
      <c r="T38" s="213" t="n">
        <v>7510210</v>
      </c>
      <c r="U38" s="209" t="n"/>
      <c r="V38" s="207" t="inlineStr">
        <is>
          <t>조운관세사무소</t>
        </is>
      </c>
      <c r="W38" s="213" t="n">
        <v>250000</v>
      </c>
      <c r="X38" s="208" t="inlineStr">
        <is>
          <t>진로직스</t>
        </is>
      </c>
      <c r="Y38" s="213" t="n">
        <v>2259958</v>
      </c>
      <c r="Z38" s="213">
        <f>S38+W38</f>
        <v/>
      </c>
      <c r="AA38" s="214">
        <f>K38+L38+M38+IFERROR(VLOOKUP(B38,RemitTable2,9,FALSE),0)+Y38+Z38</f>
        <v/>
      </c>
      <c r="AB38" s="215" t="n">
        <v>10</v>
      </c>
      <c r="AC38" s="214">
        <f>ROUND(AA38/AB38,0)</f>
        <v/>
      </c>
      <c r="AD38" s="207" t="inlineStr">
        <is>
          <t>2026-05</t>
        </is>
      </c>
      <c r="AE38" s="210" t="n"/>
      <c r="AF38" s="209" t="n"/>
    </row>
    <row r="39" ht="15.75" customHeight="1">
      <c r="A39" s="124" t="n">
        <v>60</v>
      </c>
      <c r="B39" s="124" t="inlineStr">
        <is>
          <t>IPO017</t>
        </is>
      </c>
      <c r="C39" s="124" t="inlineStr">
        <is>
          <t>Integ Process Group</t>
        </is>
      </c>
      <c r="D39" s="124" t="inlineStr">
        <is>
          <t>-</t>
        </is>
      </c>
      <c r="E39" s="124" t="inlineStr">
        <is>
          <t>부품</t>
        </is>
      </c>
      <c r="F39" s="181" t="inlineStr">
        <is>
          <t>-</t>
        </is>
      </c>
      <c r="G39" s="181" t="inlineStr">
        <is>
          <t>-</t>
        </is>
      </c>
      <c r="H39" s="126" t="n">
        <v>0</v>
      </c>
      <c r="I39" s="126">
        <f>IFERROR(VLOOKUP(B39,RemitTable2,7,FALSE),0)</f>
        <v/>
      </c>
      <c r="J39" s="128" t="n">
        <v>0</v>
      </c>
      <c r="K39" s="128">
        <f>IFERROR(ROUND(H39*I39,0),0)</f>
        <v/>
      </c>
      <c r="L39" s="128">
        <f>IFERROR(VLOOKUP(B39,RemitTable2,10,FALSE),0)</f>
        <v/>
      </c>
      <c r="M39" s="128">
        <f>IFERROR(VLOOKUP(B39,RemitTable2,11,FALSE),0)</f>
        <v/>
      </c>
      <c r="N39" s="129" t="inlineStr">
        <is>
          <t>JNIOR Model 410 (IPO017, FedEx 4/21 발송분)</t>
        </is>
      </c>
      <c r="O39" s="182" t="n"/>
      <c r="P39" s="129" t="n"/>
      <c r="Q39" s="126">
        <f>IF(P39="","",IFERROR(VLOOKUP(O39,FxRateTable,4,TRUE),""))</f>
        <v/>
      </c>
      <c r="R39" s="126">
        <f>IF(P39="","",H39)</f>
        <v/>
      </c>
      <c r="S39" s="128" t="n">
        <v>0</v>
      </c>
      <c r="T39" s="128" t="n">
        <v>0</v>
      </c>
      <c r="U39" s="181" t="n"/>
      <c r="V39" s="129" t="inlineStr">
        <is>
          <t>-</t>
        </is>
      </c>
      <c r="W39" s="128" t="n">
        <v>0</v>
      </c>
      <c r="X39" s="124" t="inlineStr">
        <is>
          <t>FedEx</t>
        </is>
      </c>
      <c r="Y39" s="128" t="n">
        <v>159250</v>
      </c>
      <c r="Z39" s="128">
        <f>S39+W39</f>
        <v/>
      </c>
      <c r="AA39" s="131">
        <f>K39+L39+M39+IFERROR(VLOOKUP(B39,RemitTable2,9,FALSE),0)+Y39+Z39</f>
        <v/>
      </c>
      <c r="AB39" s="167" t="n">
        <v>1</v>
      </c>
      <c r="AC39" s="131">
        <f>ROUND(AA39/AB39,0)</f>
        <v/>
      </c>
      <c r="AD39" s="129" t="n"/>
      <c r="AE39" s="182" t="inlineStr">
        <is>
          <t>-</t>
        </is>
      </c>
      <c r="AF39" s="182" t="inlineStr">
        <is>
          <t>-</t>
        </is>
      </c>
    </row>
    <row r="40" ht="15.75" customHeight="1">
      <c r="A40" s="124" t="n">
        <v>61</v>
      </c>
      <c r="B40" s="124" t="inlineStr">
        <is>
          <t>CPO696-5</t>
        </is>
      </c>
      <c r="C40" s="124" t="inlineStr">
        <is>
          <t>Christie</t>
        </is>
      </c>
      <c r="D40" s="124" t="inlineStr">
        <is>
          <t>Net 45 days</t>
        </is>
      </c>
      <c r="E40" s="124" t="inlineStr">
        <is>
          <t>장비</t>
        </is>
      </c>
      <c r="F40" s="181" t="n">
        <v>46163</v>
      </c>
      <c r="G40" s="181" t="inlineStr">
        <is>
          <t>-</t>
        </is>
      </c>
      <c r="H40" s="126" t="n">
        <v>346792</v>
      </c>
      <c r="I40" s="126">
        <f>IFERROR(VLOOKUP(B40,RemitTable2,7,FALSE),0)</f>
        <v/>
      </c>
      <c r="J40" s="128" t="n">
        <v>0</v>
      </c>
      <c r="K40" s="128">
        <f>IFERROR(ROUND(H40*I40,0),0)</f>
        <v/>
      </c>
      <c r="L40" s="128">
        <f>IFERROR(VLOOKUP(B40,RemitTable2,10,FALSE),0)</f>
        <v/>
      </c>
      <c r="M40" s="128">
        <f>IFERROR(VLOOKUP(B40,RemitTable2,11,FALSE),0)</f>
        <v/>
      </c>
      <c r="N40" s="129" t="inlineStr">
        <is>
          <t>CP4420-RGB 4K Projector 8대 + TPC Touch 8 (롯데 렌탈 4차)</t>
        </is>
      </c>
      <c r="O40" s="182" t="n">
        <v>46177</v>
      </c>
      <c r="P40" s="129" t="inlineStr">
        <is>
          <t>14008-26-101227M</t>
        </is>
      </c>
      <c r="Q40" s="126">
        <f>IF(P40="","",IFERROR(VLOOKUP(O40,FxRateTable,4,TRUE),""))</f>
        <v/>
      </c>
      <c r="R40" s="126">
        <f>IF(P40="","",H40)</f>
        <v/>
      </c>
      <c r="S40" s="128" t="n">
        <v>533676</v>
      </c>
      <c r="T40" s="128" t="n">
        <v>52536040</v>
      </c>
      <c r="U40" s="181" t="n"/>
      <c r="V40" s="129" t="inlineStr">
        <is>
          <t>조운관세사무소</t>
        </is>
      </c>
      <c r="W40" s="128" t="n">
        <v>286000</v>
      </c>
      <c r="X40" s="124" t="inlineStr">
        <is>
          <t>진로직스</t>
        </is>
      </c>
      <c r="Y40" s="128" t="n">
        <v>2898404</v>
      </c>
      <c r="Z40" s="128">
        <f>S40+W40</f>
        <v/>
      </c>
      <c r="AA40" s="131">
        <f>K40+L40+M40+IFERROR(VLOOKUP(B40,RemitTable2,9,FALSE),0)+Y40+Z40</f>
        <v/>
      </c>
      <c r="AB40" s="167" t="n">
        <v>8</v>
      </c>
      <c r="AC40" s="131">
        <f>ROUND(AA40/AB40,0)</f>
        <v/>
      </c>
      <c r="AD40" s="129" t="inlineStr">
        <is>
          <t>2026-06</t>
        </is>
      </c>
      <c r="AE40" s="182" t="n"/>
      <c r="AF40" s="182" t="n"/>
    </row>
    <row r="41" ht="15.75" customHeight="1">
      <c r="A41" s="124" t="n">
        <v>62</v>
      </c>
      <c r="B41" s="124" t="inlineStr">
        <is>
          <t>MPO67</t>
        </is>
      </c>
      <c r="C41" s="124" t="inlineStr">
        <is>
          <t>MAG</t>
        </is>
      </c>
      <c r="D41" s="124" t="inlineStr">
        <is>
          <t>T/T</t>
        </is>
      </c>
      <c r="E41" s="124" t="inlineStr">
        <is>
          <t>장비</t>
        </is>
      </c>
      <c r="F41" s="181" t="n">
        <v>46154</v>
      </c>
      <c r="G41" s="181" t="n">
        <v>46190</v>
      </c>
      <c r="H41" s="126" t="n">
        <v>49138.8</v>
      </c>
      <c r="I41" s="126" t="n">
        <v>1517.3</v>
      </c>
      <c r="J41" s="128" t="n">
        <v>74558330</v>
      </c>
      <c r="K41" s="128" t="n">
        <v>74558330</v>
      </c>
      <c r="L41" s="128" t="n">
        <v>10115</v>
      </c>
      <c r="M41" s="128" t="n">
        <v>6473</v>
      </c>
      <c r="N41" s="129" t="inlineStr">
        <is>
          <t>MAG 음향장비 loudspeakers 108EA (롯데컬처웍스)</t>
        </is>
      </c>
      <c r="O41" s="182" t="n">
        <v>46188</v>
      </c>
      <c r="P41" s="129" t="inlineStr">
        <is>
          <t>14008-26-101275M</t>
        </is>
      </c>
      <c r="Q41" s="126">
        <f>IF(P41="","",IFERROR(VLOOKUP(O41,FxRateTable,4,TRUE),""))</f>
        <v/>
      </c>
      <c r="R41" s="126">
        <f>IF(P41="","",H41)</f>
        <v/>
      </c>
      <c r="S41" s="128" t="n">
        <v>0</v>
      </c>
      <c r="T41" s="128" t="n">
        <v>8891915</v>
      </c>
      <c r="U41" s="181" t="n"/>
      <c r="V41" s="129" t="inlineStr">
        <is>
          <t>조운관세사무소</t>
        </is>
      </c>
      <c r="W41" s="128" t="n">
        <v>204725</v>
      </c>
      <c r="X41" s="124" t="inlineStr">
        <is>
          <t>진로직스</t>
        </is>
      </c>
      <c r="Y41" s="128" t="n">
        <v>14471173</v>
      </c>
      <c r="Z41" s="128">
        <f>S41+W41</f>
        <v/>
      </c>
      <c r="AA41" s="131">
        <f>K41+L41+M41+IFERROR(VLOOKUP(B41,RemitTable2,9,FALSE),0)+Y41+Z41</f>
        <v/>
      </c>
      <c r="AB41" s="167" t="n">
        <v>108</v>
      </c>
      <c r="AC41" s="131">
        <f>ROUND(AA41/AB41,0)</f>
        <v/>
      </c>
      <c r="AD41" s="129" t="inlineStr">
        <is>
          <t>2026-06</t>
        </is>
      </c>
      <c r="AE41" s="182" t="n"/>
      <c r="AF41" s="182" t="n"/>
    </row>
    <row r="42" ht="15.75" customHeight="1">
      <c r="A42" s="124" t="n">
        <v>63</v>
      </c>
      <c r="B42" s="124" t="inlineStr">
        <is>
          <t>MPO68</t>
        </is>
      </c>
      <c r="C42" s="124" t="inlineStr">
        <is>
          <t>MAG</t>
        </is>
      </c>
      <c r="D42" s="124" t="inlineStr">
        <is>
          <t>T/T</t>
        </is>
      </c>
      <c r="E42" s="124" t="inlineStr">
        <is>
          <t>장비</t>
        </is>
      </c>
      <c r="F42" s="181" t="n">
        <v>46154</v>
      </c>
      <c r="G42" s="181" t="n">
        <v>46190</v>
      </c>
      <c r="H42" s="126" t="n">
        <v>11587.2</v>
      </c>
      <c r="I42" s="126" t="n">
        <v>1517.3</v>
      </c>
      <c r="J42" s="128" t="n">
        <v>17582284</v>
      </c>
      <c r="K42" s="128" t="n">
        <v>17582284</v>
      </c>
      <c r="L42" s="128" t="n">
        <v>2385</v>
      </c>
      <c r="M42" s="128" t="n">
        <v>1527</v>
      </c>
      <c r="N42" s="129" t="inlineStr">
        <is>
          <t>MAG 음향장비 loudspeakers 29EA (CJ 미래원)</t>
        </is>
      </c>
      <c r="O42" s="182" t="n">
        <v>46188</v>
      </c>
      <c r="P42" s="129" t="inlineStr">
        <is>
          <t>14008-26-101275M</t>
        </is>
      </c>
      <c r="Q42" s="126">
        <f>IF(P42="","",IFERROR(VLOOKUP(O42,FxRateTable,4,TRUE),""))</f>
        <v/>
      </c>
      <c r="R42" s="126">
        <f>IF(P42="","",H42)</f>
        <v/>
      </c>
      <c r="S42" s="128" t="n">
        <v>0</v>
      </c>
      <c r="T42" s="128" t="n">
        <v>2096763</v>
      </c>
      <c r="U42" s="181" t="n"/>
      <c r="V42" s="129" t="inlineStr">
        <is>
          <t>조운관세사무소</t>
        </is>
      </c>
      <c r="W42" s="128" t="n">
        <v>48275</v>
      </c>
      <c r="X42" s="124" t="inlineStr">
        <is>
          <t>진로직스</t>
        </is>
      </c>
      <c r="Y42" s="128" t="n">
        <v>3412382</v>
      </c>
      <c r="Z42" s="128">
        <f>S42+W42</f>
        <v/>
      </c>
      <c r="AA42" s="131">
        <f>K42+L42+M42+IFERROR(VLOOKUP(B42,RemitTable2,9,FALSE),0)+Y42+Z42</f>
        <v/>
      </c>
      <c r="AB42" s="167" t="n">
        <v>29</v>
      </c>
      <c r="AC42" s="131">
        <f>ROUND(AA42/AB42,0)</f>
        <v/>
      </c>
      <c r="AD42" s="129" t="inlineStr">
        <is>
          <t>2026-06</t>
        </is>
      </c>
      <c r="AE42" s="182" t="n"/>
      <c r="AF42" s="182" t="n"/>
    </row>
    <row r="43" ht="15.75" customHeight="1">
      <c r="A43" s="124" t="n">
        <v>64</v>
      </c>
      <c r="B43" s="124" t="inlineStr">
        <is>
          <t>APO001</t>
        </is>
      </c>
      <c r="C43" s="124" t="inlineStr">
        <is>
          <t>Appotronics</t>
        </is>
      </c>
      <c r="D43" s="124" t="inlineStr">
        <is>
          <t>100% TT in advance</t>
        </is>
      </c>
      <c r="E43" s="124" t="inlineStr">
        <is>
          <t>부품</t>
        </is>
      </c>
      <c r="F43" s="181" t="n">
        <v>46163</v>
      </c>
      <c r="G43" s="181" t="n">
        <v>46190</v>
      </c>
      <c r="H43" s="126" t="n">
        <v>12400</v>
      </c>
      <c r="I43" s="126" t="n">
        <v>1517.1</v>
      </c>
      <c r="J43" s="128" t="n">
        <v>18812040</v>
      </c>
      <c r="K43" s="128" t="n">
        <v>18812040</v>
      </c>
      <c r="L43" s="128" t="n">
        <v>10000</v>
      </c>
      <c r="M43" s="128" t="n">
        <v>8000</v>
      </c>
      <c r="N43" s="129" t="inlineStr">
        <is>
          <t>S20-C2220-BEAB 레이저모듈 2set (CP2220)</t>
        </is>
      </c>
      <c r="O43" s="182" t="n">
        <v>46202</v>
      </c>
      <c r="P43" s="129" t="inlineStr">
        <is>
          <t>14008-26-101317M</t>
        </is>
      </c>
      <c r="Q43" s="126">
        <f>IF(P43="","",IFERROR(VLOOKUP(O43,FxRateTable,4,TRUE),""))</f>
        <v/>
      </c>
      <c r="R43" s="126">
        <f>IF(P43="","",H43)</f>
        <v/>
      </c>
      <c r="S43" s="128" t="n">
        <v>0</v>
      </c>
      <c r="T43" s="128" t="n">
        <v>1959600</v>
      </c>
      <c r="U43" s="181" t="n">
        <v>46202</v>
      </c>
      <c r="V43" s="129" t="inlineStr">
        <is>
          <t>조운관세사무소</t>
        </is>
      </c>
      <c r="W43" s="128" t="n">
        <v>43010</v>
      </c>
      <c r="X43" s="124" t="inlineStr">
        <is>
          <t>진로직스</t>
        </is>
      </c>
      <c r="Y43" s="128" t="n">
        <v>692650</v>
      </c>
      <c r="Z43" s="128">
        <f>S43+W43</f>
        <v/>
      </c>
      <c r="AA43" s="131">
        <f>K43+L43+M43+IFERROR(VLOOKUP(B43,RemitTable2,9,FALSE),0)+Y43+Z43</f>
        <v/>
      </c>
      <c r="AB43" s="167" t="n">
        <v>2</v>
      </c>
      <c r="AC43" s="131">
        <f>ROUND(AA43/AB43,0)</f>
        <v/>
      </c>
      <c r="AD43" s="129" t="inlineStr">
        <is>
          <t>2026-06</t>
        </is>
      </c>
      <c r="AE43" s="182" t="n"/>
      <c r="AF43" s="182" t="n"/>
    </row>
    <row r="44" ht="15.75" customHeight="1">
      <c r="A44" s="124" t="n">
        <v>67</v>
      </c>
      <c r="B44" s="124" t="inlineStr">
        <is>
          <t>GPO483</t>
        </is>
      </c>
      <c r="C44" s="124" t="inlineStr">
        <is>
          <t>GDC</t>
        </is>
      </c>
      <c r="D44" s="124" t="inlineStr">
        <is>
          <t>Net 30 days</t>
        </is>
      </c>
      <c r="E44" s="124" t="inlineStr">
        <is>
          <t>장비</t>
        </is>
      </c>
      <c r="F44" s="181" t="n">
        <v>46174</v>
      </c>
      <c r="G44" s="181" t="inlineStr">
        <is>
          <t>-</t>
        </is>
      </c>
      <c r="H44" s="126" t="n">
        <v>14730</v>
      </c>
      <c r="I44" s="126" t="n">
        <v>0</v>
      </c>
      <c r="J44" s="128" t="n">
        <v>0</v>
      </c>
      <c r="K44" s="128" t="n">
        <v>0</v>
      </c>
      <c r="L44" s="128" t="n">
        <v>0</v>
      </c>
      <c r="M44" s="128" t="n">
        <v>0</v>
      </c>
      <c r="N44" s="129" t="inlineStr">
        <is>
          <t>AIB-3000 Cinema Audio Processor 9EA (롯데 인천검단 6 / CJ미래원 1 / RNR 2)</t>
        </is>
      </c>
      <c r="O44" s="182" t="n"/>
      <c r="P44" s="129" t="n"/>
      <c r="Q44" s="126">
        <f>IF(P44="","",IFERROR(VLOOKUP(O44,FxRateTable,4,TRUE),""))</f>
        <v/>
      </c>
      <c r="R44" s="126">
        <f>IF(P44="","",H44)</f>
        <v/>
      </c>
      <c r="S44" s="128" t="n">
        <v>0</v>
      </c>
      <c r="T44" s="128" t="n">
        <v>0</v>
      </c>
      <c r="U44" s="181" t="n"/>
      <c r="V44" s="129" t="inlineStr">
        <is>
          <t>-</t>
        </is>
      </c>
      <c r="W44" s="128" t="n">
        <v>0</v>
      </c>
      <c r="X44" s="124" t="inlineStr">
        <is>
          <t>-</t>
        </is>
      </c>
      <c r="Y44" s="128" t="n">
        <v>0</v>
      </c>
      <c r="Z44" s="128">
        <f>S44+W44</f>
        <v/>
      </c>
      <c r="AA44" s="131">
        <f>K44+L44+M44+IFERROR(VLOOKUP(B44,RemitTable2,9,FALSE),0)+Y44+Z44</f>
        <v/>
      </c>
      <c r="AB44" s="167" t="n">
        <v>9</v>
      </c>
      <c r="AC44" s="131">
        <f>ROUND(AA44/AB44,0)</f>
        <v/>
      </c>
      <c r="AD44" s="129" t="n"/>
      <c r="AE44" s="182" t="n"/>
      <c r="AF44" s="182" t="n"/>
    </row>
    <row r="45" ht="15.75" customHeight="1">
      <c r="A45" s="296" t="n">
        <v>29</v>
      </c>
      <c r="B45" s="296" t="inlineStr">
        <is>
          <t>CPO667</t>
        </is>
      </c>
      <c r="C45" s="297" t="inlineStr">
        <is>
          <t>Christie</t>
        </is>
      </c>
      <c r="D45" s="296" t="inlineStr">
        <is>
          <t>Net 45 days</t>
        </is>
      </c>
      <c r="E45" s="297" t="inlineStr">
        <is>
          <t>워런티(EW)</t>
        </is>
      </c>
      <c r="F45" s="298" t="n">
        <v>45925</v>
      </c>
      <c r="G45" s="299" t="n">
        <v>46080</v>
      </c>
      <c r="H45" s="300" t="n">
        <v>5673</v>
      </c>
      <c r="I45" s="301" t="n">
        <v>1441.6</v>
      </c>
      <c r="J45" s="302" t="n">
        <v>8178197</v>
      </c>
      <c r="K45" s="302" t="n">
        <v>8178197</v>
      </c>
      <c r="L45" s="302" t="n">
        <v>499</v>
      </c>
      <c r="M45" s="302" t="n">
        <v>319</v>
      </c>
      <c r="N45" s="296" t="inlineStr">
        <is>
          <t>EW CP2220</t>
        </is>
      </c>
      <c r="O45" s="299" t="inlineStr">
        <is>
          <t>-</t>
        </is>
      </c>
      <c r="P45" s="296" t="inlineStr">
        <is>
          <t>-</t>
        </is>
      </c>
      <c r="Q45" s="300">
        <f>IF(P45="","",IFERROR(VLOOKUP(O45,FxRateTable,4,TRUE),""))</f>
        <v/>
      </c>
      <c r="R45" s="302">
        <f>IF(P45="","",H45)</f>
        <v/>
      </c>
      <c r="S45" s="302" t="n">
        <v>0</v>
      </c>
      <c r="T45" s="302" t="n">
        <v>0</v>
      </c>
      <c r="U45" s="298" t="n"/>
      <c r="V45" s="296" t="inlineStr">
        <is>
          <t>-</t>
        </is>
      </c>
      <c r="W45" s="302" t="n">
        <v>0</v>
      </c>
      <c r="X45" s="297" t="inlineStr">
        <is>
          <t>-</t>
        </is>
      </c>
      <c r="Y45" s="302" t="n">
        <v>0</v>
      </c>
      <c r="Z45" s="302">
        <f>S45+W45</f>
        <v/>
      </c>
      <c r="AA45" s="302">
        <f>K45+L45+M45+IFERROR(VLOOKUP(B45,RemitTable2,9,FALSE),0)+Y45+Z45</f>
        <v/>
      </c>
      <c r="AB45" s="303" t="n">
        <v>1</v>
      </c>
      <c r="AC45" s="302">
        <f>ROUND(AA45/AB45,0)</f>
        <v/>
      </c>
      <c r="AD45" s="296" t="inlineStr">
        <is>
          <t>2025-09</t>
        </is>
      </c>
      <c r="AE45" s="299" t="inlineStr">
        <is>
          <t>2025-09-13</t>
        </is>
      </c>
      <c r="AF45" s="298" t="inlineStr">
        <is>
          <t>2026-08-28</t>
        </is>
      </c>
    </row>
    <row r="46" ht="15.75" customHeight="1">
      <c r="A46" s="296" t="n">
        <v>30</v>
      </c>
      <c r="B46" s="296" t="inlineStr">
        <is>
          <t>GPO458</t>
        </is>
      </c>
      <c r="C46" s="297" t="inlineStr">
        <is>
          <t>GDC</t>
        </is>
      </c>
      <c r="D46" s="296" t="inlineStr">
        <is>
          <t>Net 30 days</t>
        </is>
      </c>
      <c r="E46" s="297" t="inlineStr">
        <is>
          <t>라이센스</t>
        </is>
      </c>
      <c r="F46" s="298" t="n">
        <v>45982</v>
      </c>
      <c r="G46" s="299" t="n">
        <v>46020</v>
      </c>
      <c r="H46" s="300" t="n">
        <v>350</v>
      </c>
      <c r="I46" s="301" t="n">
        <v>1439.1</v>
      </c>
      <c r="J46" s="302" t="n">
        <v>503685</v>
      </c>
      <c r="K46" s="302" t="n">
        <v>503685</v>
      </c>
      <c r="L46" s="302" t="n">
        <v>253</v>
      </c>
      <c r="M46" s="302" t="n">
        <v>202</v>
      </c>
      <c r="N46" s="296" t="inlineStr">
        <is>
          <t>HFR License</t>
        </is>
      </c>
      <c r="O46" s="299" t="inlineStr">
        <is>
          <t>-</t>
        </is>
      </c>
      <c r="P46" s="296" t="inlineStr">
        <is>
          <t>-</t>
        </is>
      </c>
      <c r="Q46" s="300">
        <f>IF(P46="","",IFERROR(VLOOKUP(O46,FxRateTable,4,TRUE),""))</f>
        <v/>
      </c>
      <c r="R46" s="302">
        <f>IF(P46="","",H46)</f>
        <v/>
      </c>
      <c r="S46" s="302" t="n">
        <v>0</v>
      </c>
      <c r="T46" s="302" t="n">
        <v>0</v>
      </c>
      <c r="U46" s="298" t="n"/>
      <c r="V46" s="296" t="inlineStr">
        <is>
          <t>-</t>
        </is>
      </c>
      <c r="W46" s="302" t="n">
        <v>0</v>
      </c>
      <c r="X46" s="297" t="inlineStr">
        <is>
          <t>-</t>
        </is>
      </c>
      <c r="Y46" s="302" t="n">
        <v>0</v>
      </c>
      <c r="Z46" s="302">
        <f>S46+W46</f>
        <v/>
      </c>
      <c r="AA46" s="302">
        <f>K46+L46+M46+IFERROR(VLOOKUP(B46,RemitTable2,9,FALSE),0)+Y46+Z46</f>
        <v/>
      </c>
      <c r="AB46" s="303" t="n">
        <v>1</v>
      </c>
      <c r="AC46" s="302">
        <f>ROUND(AA46/AB46,0)</f>
        <v/>
      </c>
      <c r="AD46" s="296" t="inlineStr">
        <is>
          <t>2025-12</t>
        </is>
      </c>
      <c r="AE46" s="299" t="inlineStr">
        <is>
          <t>2025-12-01</t>
        </is>
      </c>
      <c r="AF46" s="298" t="inlineStr">
        <is>
          <t>2026-11-30</t>
        </is>
      </c>
    </row>
    <row r="47" ht="15.75" customHeight="1">
      <c r="A47" s="296" t="n">
        <v>31</v>
      </c>
      <c r="B47" s="296" t="inlineStr">
        <is>
          <t>CPO681</t>
        </is>
      </c>
      <c r="C47" s="297" t="inlineStr">
        <is>
          <t>Christie</t>
        </is>
      </c>
      <c r="D47" s="296" t="inlineStr">
        <is>
          <t>Net 45 days</t>
        </is>
      </c>
      <c r="E47" s="297" t="inlineStr">
        <is>
          <t>워런티(EW)</t>
        </is>
      </c>
      <c r="F47" s="298" t="n">
        <v>45993</v>
      </c>
      <c r="G47" s="299" t="n">
        <v>46064</v>
      </c>
      <c r="H47" s="300" t="n">
        <v>26358</v>
      </c>
      <c r="I47" s="301" t="n">
        <v>1460.7</v>
      </c>
      <c r="J47" s="302" t="n">
        <v>38501131</v>
      </c>
      <c r="K47" s="302" t="n">
        <v>38501131</v>
      </c>
      <c r="L47" s="302" t="n">
        <v>12500</v>
      </c>
      <c r="M47" s="302" t="n">
        <v>8000</v>
      </c>
      <c r="N47" s="296" t="inlineStr">
        <is>
          <t>EW CP2309/2315/2320-RGB</t>
        </is>
      </c>
      <c r="O47" s="299" t="inlineStr">
        <is>
          <t>-</t>
        </is>
      </c>
      <c r="P47" s="296" t="inlineStr">
        <is>
          <t>-</t>
        </is>
      </c>
      <c r="Q47" s="300">
        <f>IF(P47="","",IFERROR(VLOOKUP(O47,FxRateTable,4,TRUE),""))</f>
        <v/>
      </c>
      <c r="R47" s="302">
        <f>IF(P47="","",H47)</f>
        <v/>
      </c>
      <c r="S47" s="302" t="n">
        <v>0</v>
      </c>
      <c r="T47" s="302" t="n">
        <v>0</v>
      </c>
      <c r="U47" s="298" t="n"/>
      <c r="V47" s="296" t="inlineStr">
        <is>
          <t>-</t>
        </is>
      </c>
      <c r="W47" s="302" t="n">
        <v>0</v>
      </c>
      <c r="X47" s="297" t="inlineStr">
        <is>
          <t>-</t>
        </is>
      </c>
      <c r="Y47" s="302" t="n">
        <v>0</v>
      </c>
      <c r="Z47" s="302">
        <f>S47+W47</f>
        <v/>
      </c>
      <c r="AA47" s="302">
        <f>K47+L47+M47+IFERROR(VLOOKUP(B47,RemitTable2,9,FALSE),0)+Y47+Z47</f>
        <v/>
      </c>
      <c r="AB47" s="303" t="n">
        <v>1</v>
      </c>
      <c r="AC47" s="302">
        <f>ROUND(AA47/AB47,0)</f>
        <v/>
      </c>
      <c r="AD47" s="296" t="inlineStr">
        <is>
          <t>2025-12</t>
        </is>
      </c>
      <c r="AE47" s="299" t="inlineStr">
        <is>
          <t>2025-12-22</t>
        </is>
      </c>
      <c r="AF47" s="298" t="inlineStr">
        <is>
          <t>2026-12-21</t>
        </is>
      </c>
    </row>
    <row r="48" ht="15.75" customHeight="1">
      <c r="A48" s="296" t="n">
        <v>32</v>
      </c>
      <c r="B48" s="296" t="inlineStr">
        <is>
          <t>GPO459</t>
        </is>
      </c>
      <c r="C48" s="297" t="inlineStr">
        <is>
          <t>GDC</t>
        </is>
      </c>
      <c r="D48" s="296" t="inlineStr">
        <is>
          <t>Net 30 days</t>
        </is>
      </c>
      <c r="E48" s="297" t="inlineStr">
        <is>
          <t>워런티(EW)</t>
        </is>
      </c>
      <c r="F48" s="298" t="n">
        <v>46007</v>
      </c>
      <c r="G48" s="299" t="n">
        <v>46043</v>
      </c>
      <c r="H48" s="300" t="n">
        <v>450</v>
      </c>
      <c r="I48" s="301" t="n">
        <v>1475.7</v>
      </c>
      <c r="J48" s="302" t="n">
        <v>664065</v>
      </c>
      <c r="K48" s="302" t="n">
        <v>664065</v>
      </c>
      <c r="L48" s="302" t="n">
        <v>912</v>
      </c>
      <c r="M48" s="302" t="n">
        <v>973</v>
      </c>
      <c r="N48" s="296" t="inlineStr">
        <is>
          <t>TMS-2000 EW</t>
        </is>
      </c>
      <c r="O48" s="299" t="inlineStr">
        <is>
          <t>-</t>
        </is>
      </c>
      <c r="P48" s="296" t="inlineStr">
        <is>
          <t>-</t>
        </is>
      </c>
      <c r="Q48" s="300">
        <f>IF(P48="","",IFERROR(VLOOKUP(O48,FxRateTable,4,TRUE),""))</f>
        <v/>
      </c>
      <c r="R48" s="302">
        <f>IF(P48="","",H48)</f>
        <v/>
      </c>
      <c r="S48" s="302" t="n">
        <v>0</v>
      </c>
      <c r="T48" s="302" t="n">
        <v>0</v>
      </c>
      <c r="U48" s="298" t="n"/>
      <c r="V48" s="296" t="inlineStr">
        <is>
          <t>-</t>
        </is>
      </c>
      <c r="W48" s="302" t="n">
        <v>0</v>
      </c>
      <c r="X48" s="297" t="inlineStr">
        <is>
          <t>-</t>
        </is>
      </c>
      <c r="Y48" s="302" t="n">
        <v>0</v>
      </c>
      <c r="Z48" s="302">
        <f>S48+W48</f>
        <v/>
      </c>
      <c r="AA48" s="302">
        <f>K48+L48+M48+IFERROR(VLOOKUP(B48,RemitTable2,9,FALSE),0)+Y48+Z48</f>
        <v/>
      </c>
      <c r="AB48" s="303" t="n">
        <v>1</v>
      </c>
      <c r="AC48" s="302">
        <f>ROUND(AA48/AB48,0)</f>
        <v/>
      </c>
      <c r="AD48" s="296" t="inlineStr">
        <is>
          <t>2026-01</t>
        </is>
      </c>
      <c r="AE48" s="299" t="inlineStr">
        <is>
          <t>2026-01-01</t>
        </is>
      </c>
      <c r="AF48" s="298" t="inlineStr">
        <is>
          <t>2026-12-31</t>
        </is>
      </c>
    </row>
    <row r="49" ht="15.75" customHeight="1">
      <c r="A49" s="296" t="n">
        <v>33</v>
      </c>
      <c r="B49" s="296" t="inlineStr">
        <is>
          <t>GPO461</t>
        </is>
      </c>
      <c r="C49" s="297" t="inlineStr">
        <is>
          <t>GDC</t>
        </is>
      </c>
      <c r="D49" s="296" t="inlineStr">
        <is>
          <t>Net 30 days</t>
        </is>
      </c>
      <c r="E49" s="297" t="inlineStr">
        <is>
          <t>워런티(EW)</t>
        </is>
      </c>
      <c r="F49" s="298" t="n">
        <v>46007</v>
      </c>
      <c r="G49" s="299" t="n">
        <v>46043</v>
      </c>
      <c r="H49" s="300" t="n">
        <v>540</v>
      </c>
      <c r="I49" s="301" t="n">
        <v>1475.7</v>
      </c>
      <c r="J49" s="302" t="n">
        <v>796878</v>
      </c>
      <c r="K49" s="302" t="n">
        <v>796878</v>
      </c>
      <c r="L49" s="302" t="n">
        <v>1095</v>
      </c>
      <c r="M49" s="302" t="n">
        <v>1168</v>
      </c>
      <c r="N49" s="296" t="inlineStr">
        <is>
          <t>TMS-1000 EW</t>
        </is>
      </c>
      <c r="O49" s="299" t="inlineStr">
        <is>
          <t>-</t>
        </is>
      </c>
      <c r="P49" s="296" t="inlineStr">
        <is>
          <t>-</t>
        </is>
      </c>
      <c r="Q49" s="300">
        <f>IF(P49="","",IFERROR(VLOOKUP(O49,FxRateTable,4,TRUE),""))</f>
        <v/>
      </c>
      <c r="R49" s="302">
        <f>IF(P49="","",H49)</f>
        <v/>
      </c>
      <c r="S49" s="302" t="n">
        <v>0</v>
      </c>
      <c r="T49" s="302" t="n">
        <v>0</v>
      </c>
      <c r="U49" s="298" t="n"/>
      <c r="V49" s="296" t="inlineStr">
        <is>
          <t>-</t>
        </is>
      </c>
      <c r="W49" s="302" t="n">
        <v>0</v>
      </c>
      <c r="X49" s="297" t="inlineStr">
        <is>
          <t>-</t>
        </is>
      </c>
      <c r="Y49" s="302" t="n">
        <v>0</v>
      </c>
      <c r="Z49" s="302">
        <f>S49+W49</f>
        <v/>
      </c>
      <c r="AA49" s="302">
        <f>K49+L49+M49+IFERROR(VLOOKUP(B49,RemitTable2,9,FALSE),0)+Y49+Z49</f>
        <v/>
      </c>
      <c r="AB49" s="303" t="n">
        <v>1</v>
      </c>
      <c r="AC49" s="302">
        <f>ROUND(AA49/AB49,0)</f>
        <v/>
      </c>
      <c r="AD49" s="296" t="inlineStr">
        <is>
          <t>2025-11</t>
        </is>
      </c>
      <c r="AE49" s="299" t="inlineStr">
        <is>
          <t>2025-11-01</t>
        </is>
      </c>
      <c r="AF49" s="298" t="inlineStr">
        <is>
          <t>2026-10-30</t>
        </is>
      </c>
    </row>
    <row r="50" ht="15.75" customHeight="1">
      <c r="A50" s="296" t="n">
        <v>34</v>
      </c>
      <c r="B50" s="296" t="inlineStr">
        <is>
          <t>CPO685</t>
        </is>
      </c>
      <c r="C50" s="297" t="inlineStr">
        <is>
          <t>Christie</t>
        </is>
      </c>
      <c r="D50" s="296" t="inlineStr">
        <is>
          <t>Net 45 days</t>
        </is>
      </c>
      <c r="E50" s="297" t="inlineStr">
        <is>
          <t>워런티(EW)</t>
        </is>
      </c>
      <c r="F50" s="298" t="n">
        <v>46010</v>
      </c>
      <c r="G50" s="299" t="n">
        <v>46080</v>
      </c>
      <c r="H50" s="300" t="n">
        <v>136516</v>
      </c>
      <c r="I50" s="301" t="n">
        <v>1441.6</v>
      </c>
      <c r="J50" s="302" t="n">
        <v>196801466</v>
      </c>
      <c r="K50" s="302" t="n">
        <v>196801466</v>
      </c>
      <c r="L50" s="302" t="n">
        <v>12001</v>
      </c>
      <c r="M50" s="302" t="n">
        <v>7681</v>
      </c>
      <c r="N50" s="296" t="inlineStr">
        <is>
          <t>EW 대량 (CP2208~CP4450)</t>
        </is>
      </c>
      <c r="O50" s="299" t="inlineStr">
        <is>
          <t>-</t>
        </is>
      </c>
      <c r="P50" s="296" t="inlineStr">
        <is>
          <t>-</t>
        </is>
      </c>
      <c r="Q50" s="300">
        <f>IF(P50="","",IFERROR(VLOOKUP(O50,FxRateTable,4,TRUE),""))</f>
        <v/>
      </c>
      <c r="R50" s="302">
        <f>IF(P50="","",H50)</f>
        <v/>
      </c>
      <c r="S50" s="302" t="n">
        <v>0</v>
      </c>
      <c r="T50" s="302" t="n">
        <v>0</v>
      </c>
      <c r="U50" s="298" t="n"/>
      <c r="V50" s="296" t="inlineStr">
        <is>
          <t>-</t>
        </is>
      </c>
      <c r="W50" s="302" t="n">
        <v>0</v>
      </c>
      <c r="X50" s="297" t="inlineStr">
        <is>
          <t>-</t>
        </is>
      </c>
      <c r="Y50" s="302" t="n">
        <v>0</v>
      </c>
      <c r="Z50" s="302">
        <f>S50+W50</f>
        <v/>
      </c>
      <c r="AA50" s="302">
        <f>K50+L50+M50+IFERROR(VLOOKUP(B50,RemitTable2,9,FALSE),0)+Y50+Z50</f>
        <v/>
      </c>
      <c r="AB50" s="303" t="n">
        <v>1</v>
      </c>
      <c r="AC50" s="302">
        <f>ROUND(AA50/AB50,0)</f>
        <v/>
      </c>
      <c r="AD50" s="296" t="inlineStr">
        <is>
          <t>2026-01</t>
        </is>
      </c>
      <c r="AE50" s="299" t="inlineStr">
        <is>
          <t>2026-01-01</t>
        </is>
      </c>
      <c r="AF50" s="298" t="inlineStr">
        <is>
          <t>2026-12-31</t>
        </is>
      </c>
    </row>
    <row r="51" ht="15.75" customHeight="1">
      <c r="A51" s="296" t="n">
        <v>35</v>
      </c>
      <c r="B51" s="296" t="inlineStr">
        <is>
          <t>GPO465</t>
        </is>
      </c>
      <c r="C51" s="297" t="inlineStr">
        <is>
          <t>GDC</t>
        </is>
      </c>
      <c r="D51" s="296" t="inlineStr">
        <is>
          <t>Net 30 days</t>
        </is>
      </c>
      <c r="E51" s="297" t="inlineStr">
        <is>
          <t>워런티(EW)</t>
        </is>
      </c>
      <c r="F51" s="298" t="n">
        <v>46015</v>
      </c>
      <c r="G51" s="299" t="inlineStr">
        <is>
          <t>-</t>
        </is>
      </c>
      <c r="H51" s="300" t="n">
        <v>76054</v>
      </c>
      <c r="I51" s="301">
        <f>IFERROR(VLOOKUP(B50,RemitTable2,7,FALSE),0)</f>
        <v/>
      </c>
      <c r="J51" s="302" t="n">
        <v>0</v>
      </c>
      <c r="K51" s="302">
        <f>IFERROR(ROUND(H50*I50,0),0)</f>
        <v/>
      </c>
      <c r="L51" s="302">
        <f>IFERROR(VLOOKUP(B50,RemitTable2,10,FALSE),0)</f>
        <v/>
      </c>
      <c r="M51" s="302">
        <f>IFERROR(VLOOKUP(B50,RemitTable2,11,FALSE),0)</f>
        <v/>
      </c>
      <c r="N51" s="296" t="inlineStr">
        <is>
          <t>EW 대량 (SR/SX/TMS)</t>
        </is>
      </c>
      <c r="O51" s="299" t="inlineStr">
        <is>
          <t>-</t>
        </is>
      </c>
      <c r="P51" s="296" t="inlineStr">
        <is>
          <t>-</t>
        </is>
      </c>
      <c r="Q51" s="300">
        <f>IF(P51="","",IFERROR(VLOOKUP(O51,FxRateTable,4,TRUE),""))</f>
        <v/>
      </c>
      <c r="R51" s="302">
        <f>IF(P51="","",H51)</f>
        <v/>
      </c>
      <c r="S51" s="302" t="n">
        <v>0</v>
      </c>
      <c r="T51" s="302" t="n">
        <v>0</v>
      </c>
      <c r="U51" s="298" t="n"/>
      <c r="V51" s="296" t="inlineStr">
        <is>
          <t>-</t>
        </is>
      </c>
      <c r="W51" s="302" t="n">
        <v>0</v>
      </c>
      <c r="X51" s="297" t="inlineStr">
        <is>
          <t>-</t>
        </is>
      </c>
      <c r="Y51" s="302" t="n">
        <v>0</v>
      </c>
      <c r="Z51" s="302">
        <f>S51+W51</f>
        <v/>
      </c>
      <c r="AA51" s="302">
        <f>K51+L51+M51+IFERROR(VLOOKUP(B51,RemitTable2,9,FALSE),0)+Y51+Z51</f>
        <v/>
      </c>
      <c r="AB51" s="303" t="n">
        <v>1</v>
      </c>
      <c r="AC51" s="302">
        <f>ROUND(AA51/AB51,0)</f>
        <v/>
      </c>
      <c r="AD51" s="296" t="inlineStr">
        <is>
          <t>2026-01</t>
        </is>
      </c>
      <c r="AE51" s="299" t="inlineStr">
        <is>
          <t>2026-01-01</t>
        </is>
      </c>
      <c r="AF51" s="298" t="inlineStr">
        <is>
          <t>2026-12-31</t>
        </is>
      </c>
    </row>
    <row r="52" ht="15.75" customHeight="1">
      <c r="A52" s="296" t="n">
        <v>36</v>
      </c>
      <c r="B52" s="296" t="inlineStr">
        <is>
          <t>CPO686</t>
        </is>
      </c>
      <c r="C52" s="297" t="inlineStr">
        <is>
          <t>Christie</t>
        </is>
      </c>
      <c r="D52" s="296" t="inlineStr">
        <is>
          <t>Net 45 days</t>
        </is>
      </c>
      <c r="E52" s="297" t="inlineStr">
        <is>
          <t>워런티(EW)</t>
        </is>
      </c>
      <c r="F52" s="298" t="n">
        <v>46029</v>
      </c>
      <c r="G52" s="299" t="n">
        <v>46072</v>
      </c>
      <c r="H52" s="300" t="n">
        <v>14793</v>
      </c>
      <c r="I52" s="301" t="n">
        <v>1451.7</v>
      </c>
      <c r="J52" s="302" t="n">
        <v>21474998</v>
      </c>
      <c r="K52" s="302" t="n">
        <v>21474998</v>
      </c>
      <c r="L52" s="302" t="n">
        <v>8435</v>
      </c>
      <c r="M52" s="302" t="n">
        <v>6748</v>
      </c>
      <c r="N52" s="296" t="inlineStr">
        <is>
          <t>EW CP2315/CP4440-RGB</t>
        </is>
      </c>
      <c r="O52" s="299" t="inlineStr">
        <is>
          <t>-</t>
        </is>
      </c>
      <c r="P52" s="296" t="inlineStr">
        <is>
          <t>-</t>
        </is>
      </c>
      <c r="Q52" s="300">
        <f>IF(P52="","",IFERROR(VLOOKUP(O52,FxRateTable,4,TRUE),""))</f>
        <v/>
      </c>
      <c r="R52" s="302">
        <f>IF(P52="","",H52)</f>
        <v/>
      </c>
      <c r="S52" s="302" t="n">
        <v>0</v>
      </c>
      <c r="T52" s="302" t="n">
        <v>0</v>
      </c>
      <c r="U52" s="298" t="n"/>
      <c r="V52" s="296" t="inlineStr">
        <is>
          <t>-</t>
        </is>
      </c>
      <c r="W52" s="302" t="n">
        <v>0</v>
      </c>
      <c r="X52" s="297" t="inlineStr">
        <is>
          <t>-</t>
        </is>
      </c>
      <c r="Y52" s="302" t="n">
        <v>0</v>
      </c>
      <c r="Z52" s="302">
        <f>S52+W52</f>
        <v/>
      </c>
      <c r="AA52" s="302">
        <f>K52+L52+M52+IFERROR(VLOOKUP(B52,RemitTable2,9,FALSE),0)+Y52+Z52</f>
        <v/>
      </c>
      <c r="AB52" s="303" t="n">
        <v>1</v>
      </c>
      <c r="AC52" s="302">
        <f>ROUND(AA52/AB52,0)</f>
        <v/>
      </c>
      <c r="AD52" s="296" t="inlineStr">
        <is>
          <t>2026-01</t>
        </is>
      </c>
      <c r="AE52" s="299" t="inlineStr">
        <is>
          <t>2026-01-30</t>
        </is>
      </c>
      <c r="AF52" s="298" t="inlineStr">
        <is>
          <t>2027-01-29</t>
        </is>
      </c>
    </row>
    <row r="53" ht="15.75" customHeight="1">
      <c r="A53" s="296" t="n">
        <v>37</v>
      </c>
      <c r="B53" s="296" t="inlineStr">
        <is>
          <t>CPO687</t>
        </is>
      </c>
      <c r="C53" s="297" t="inlineStr">
        <is>
          <t>Christie</t>
        </is>
      </c>
      <c r="D53" s="296" t="inlineStr">
        <is>
          <t>Net 45 days</t>
        </is>
      </c>
      <c r="E53" s="297" t="inlineStr">
        <is>
          <t>워런티(EW)</t>
        </is>
      </c>
      <c r="F53" s="298" t="n">
        <v>46029</v>
      </c>
      <c r="G53" s="299" t="inlineStr">
        <is>
          <t>-</t>
        </is>
      </c>
      <c r="H53" s="300" t="n">
        <v>26656</v>
      </c>
      <c r="I53" s="301">
        <f>IFERROR(VLOOKUP(B52,RemitTable2,7,FALSE),0)</f>
        <v/>
      </c>
      <c r="J53" s="302" t="n">
        <v>0</v>
      </c>
      <c r="K53" s="302">
        <f>IFERROR(ROUND(H52*I52,0),0)</f>
        <v/>
      </c>
      <c r="L53" s="302">
        <f>IFERROR(VLOOKUP(B52,RemitTable2,10,FALSE),0)</f>
        <v/>
      </c>
      <c r="M53" s="302">
        <f>IFERROR(VLOOKUP(B52,RemitTable2,11,FALSE),0)</f>
        <v/>
      </c>
      <c r="N53" s="296" t="inlineStr">
        <is>
          <t>EW (홀딩)</t>
        </is>
      </c>
      <c r="O53" s="299" t="inlineStr">
        <is>
          <t>-</t>
        </is>
      </c>
      <c r="P53" s="296" t="inlineStr">
        <is>
          <t>-</t>
        </is>
      </c>
      <c r="Q53" s="300">
        <f>IF(P53="","",IFERROR(VLOOKUP(O53,FxRateTable,4,TRUE),""))</f>
        <v/>
      </c>
      <c r="R53" s="302">
        <f>IF(P53="","",H53)</f>
        <v/>
      </c>
      <c r="S53" s="302" t="n">
        <v>0</v>
      </c>
      <c r="T53" s="302" t="n">
        <v>0</v>
      </c>
      <c r="U53" s="298" t="n"/>
      <c r="V53" s="296" t="inlineStr">
        <is>
          <t>-</t>
        </is>
      </c>
      <c r="W53" s="302" t="n">
        <v>0</v>
      </c>
      <c r="X53" s="297" t="inlineStr">
        <is>
          <t>-</t>
        </is>
      </c>
      <c r="Y53" s="302" t="n">
        <v>0</v>
      </c>
      <c r="Z53" s="302">
        <f>S53+W53</f>
        <v/>
      </c>
      <c r="AA53" s="302">
        <f>K53+L53+M53+IFERROR(VLOOKUP(B53,RemitTable2,9,FALSE),0)+Y53+Z53</f>
        <v/>
      </c>
      <c r="AB53" s="303" t="n">
        <v>1</v>
      </c>
      <c r="AC53" s="302">
        <f>ROUND(AA53/AB53,0)</f>
        <v/>
      </c>
      <c r="AD53" s="296" t="inlineStr">
        <is>
          <t>2026-01</t>
        </is>
      </c>
      <c r="AE53" s="299" t="inlineStr">
        <is>
          <t>-</t>
        </is>
      </c>
      <c r="AF53" s="298" t="inlineStr">
        <is>
          <t>-</t>
        </is>
      </c>
    </row>
    <row r="54" ht="15.75" customHeight="1">
      <c r="A54" s="296" t="n">
        <v>38</v>
      </c>
      <c r="B54" s="296" t="inlineStr">
        <is>
          <t>GPO462</t>
        </is>
      </c>
      <c r="C54" s="297" t="inlineStr">
        <is>
          <t>GDC</t>
        </is>
      </c>
      <c r="D54" s="296" t="inlineStr">
        <is>
          <t>Net 30 days</t>
        </is>
      </c>
      <c r="E54" s="297" t="inlineStr">
        <is>
          <t>라이센스</t>
        </is>
      </c>
      <c r="F54" s="298" t="n">
        <v>46042</v>
      </c>
      <c r="G54" s="299" t="n">
        <v>46057</v>
      </c>
      <c r="H54" s="300" t="n">
        <v>1440</v>
      </c>
      <c r="I54" s="301" t="n">
        <v>1453.6</v>
      </c>
      <c r="J54" s="302" t="n">
        <v>2093184</v>
      </c>
      <c r="K54" s="302" t="n">
        <v>2093184</v>
      </c>
      <c r="L54" s="302" t="n">
        <v>1241</v>
      </c>
      <c r="M54" s="302" t="n">
        <v>993</v>
      </c>
      <c r="N54" s="296" t="inlineStr">
        <is>
          <t>TMS-2000 License</t>
        </is>
      </c>
      <c r="O54" s="299" t="inlineStr">
        <is>
          <t>-</t>
        </is>
      </c>
      <c r="P54" s="296" t="inlineStr">
        <is>
          <t>-</t>
        </is>
      </c>
      <c r="Q54" s="300">
        <f>IF(P54="","",IFERROR(VLOOKUP(O54,FxRateTable,4,TRUE),""))</f>
        <v/>
      </c>
      <c r="R54" s="302">
        <f>IF(P54="","",H54)</f>
        <v/>
      </c>
      <c r="S54" s="302" t="n">
        <v>0</v>
      </c>
      <c r="T54" s="302" t="n">
        <v>0</v>
      </c>
      <c r="U54" s="298" t="n"/>
      <c r="V54" s="296" t="inlineStr">
        <is>
          <t>-</t>
        </is>
      </c>
      <c r="W54" s="302" t="n">
        <v>0</v>
      </c>
      <c r="X54" s="297" t="inlineStr">
        <is>
          <t>-</t>
        </is>
      </c>
      <c r="Y54" s="302" t="n">
        <v>0</v>
      </c>
      <c r="Z54" s="302">
        <f>S54+W54</f>
        <v/>
      </c>
      <c r="AA54" s="302">
        <f>K54+L54+M54+IFERROR(VLOOKUP(B54,RemitTable2,9,FALSE),0)+Y54+Z54</f>
        <v/>
      </c>
      <c r="AB54" s="303" t="n">
        <v>1</v>
      </c>
      <c r="AC54" s="302">
        <f>ROUND(AA54/AB54,0)</f>
        <v/>
      </c>
      <c r="AD54" s="296" t="inlineStr">
        <is>
          <t>2026-01</t>
        </is>
      </c>
      <c r="AE54" s="299" t="inlineStr">
        <is>
          <t>2026-01-01</t>
        </is>
      </c>
      <c r="AF54" s="298" t="inlineStr">
        <is>
          <t>2026-12-31</t>
        </is>
      </c>
    </row>
    <row r="55" ht="15.75" customHeight="1">
      <c r="A55" s="296" t="n">
        <v>39</v>
      </c>
      <c r="B55" s="296" t="inlineStr">
        <is>
          <t>GPO463</t>
        </is>
      </c>
      <c r="C55" s="297" t="inlineStr">
        <is>
          <t>GDC</t>
        </is>
      </c>
      <c r="D55" s="296" t="inlineStr">
        <is>
          <t>Net 30 days</t>
        </is>
      </c>
      <c r="E55" s="297" t="inlineStr">
        <is>
          <t>워런티(EW)</t>
        </is>
      </c>
      <c r="F55" s="298" t="n">
        <v>46042</v>
      </c>
      <c r="G55" s="299" t="n">
        <v>46057</v>
      </c>
      <c r="H55" s="300" t="n">
        <v>4489</v>
      </c>
      <c r="I55" s="301" t="n">
        <v>1453.6</v>
      </c>
      <c r="J55" s="302" t="n">
        <v>6525210</v>
      </c>
      <c r="K55" s="302" t="n">
        <v>6525210</v>
      </c>
      <c r="L55" s="302" t="n">
        <v>3870</v>
      </c>
      <c r="M55" s="302" t="n">
        <v>3096</v>
      </c>
      <c r="N55" s="296" t="inlineStr">
        <is>
          <t>SX/SR EW (CGV/Lotte)</t>
        </is>
      </c>
      <c r="O55" s="299" t="inlineStr">
        <is>
          <t>-</t>
        </is>
      </c>
      <c r="P55" s="296" t="inlineStr">
        <is>
          <t>-</t>
        </is>
      </c>
      <c r="Q55" s="300">
        <f>IF(P55="","",IFERROR(VLOOKUP(O55,FxRateTable,4,TRUE),""))</f>
        <v/>
      </c>
      <c r="R55" s="302">
        <f>IF(P55="","",H55)</f>
        <v/>
      </c>
      <c r="S55" s="302" t="n">
        <v>0</v>
      </c>
      <c r="T55" s="302" t="n">
        <v>0</v>
      </c>
      <c r="U55" s="298" t="n"/>
      <c r="V55" s="296" t="inlineStr">
        <is>
          <t>-</t>
        </is>
      </c>
      <c r="W55" s="302" t="n">
        <v>0</v>
      </c>
      <c r="X55" s="297" t="inlineStr">
        <is>
          <t>-</t>
        </is>
      </c>
      <c r="Y55" s="302" t="n">
        <v>0</v>
      </c>
      <c r="Z55" s="302">
        <f>S55+W55</f>
        <v/>
      </c>
      <c r="AA55" s="302">
        <f>K55+L55+M55+IFERROR(VLOOKUP(B55,RemitTable2,9,FALSE),0)+Y55+Z55</f>
        <v/>
      </c>
      <c r="AB55" s="303" t="n">
        <v>1</v>
      </c>
      <c r="AC55" s="302">
        <f>ROUND(AA55/AB55,0)</f>
        <v/>
      </c>
      <c r="AD55" s="296" t="inlineStr">
        <is>
          <t>2026-01</t>
        </is>
      </c>
      <c r="AE55" s="299" t="inlineStr">
        <is>
          <t>2026-01-01</t>
        </is>
      </c>
      <c r="AF55" s="298" t="inlineStr">
        <is>
          <t>2026-12-31</t>
        </is>
      </c>
    </row>
    <row r="56" ht="15.75" customHeight="1">
      <c r="A56" s="296" t="n">
        <v>40</v>
      </c>
      <c r="B56" s="296" t="inlineStr">
        <is>
          <t>GPO464</t>
        </is>
      </c>
      <c r="C56" s="297" t="inlineStr">
        <is>
          <t>GDC</t>
        </is>
      </c>
      <c r="D56" s="296" t="inlineStr">
        <is>
          <t>Net 30 days</t>
        </is>
      </c>
      <c r="E56" s="297" t="inlineStr">
        <is>
          <t>워런티(EW)</t>
        </is>
      </c>
      <c r="F56" s="298" t="n">
        <v>46042</v>
      </c>
      <c r="G56" s="299" t="n">
        <v>46057</v>
      </c>
      <c r="H56" s="300" t="n">
        <v>5670.57</v>
      </c>
      <c r="I56" s="301" t="n">
        <v>1453.6</v>
      </c>
      <c r="J56" s="302" t="n">
        <v>8242741</v>
      </c>
      <c r="K56" s="302" t="n">
        <v>8242741</v>
      </c>
      <c r="L56" s="302" t="n">
        <v>4889</v>
      </c>
      <c r="M56" s="302" t="n">
        <v>3911</v>
      </c>
      <c r="N56" s="296" t="inlineStr">
        <is>
          <t>SR-1000/SX-3000 EW</t>
        </is>
      </c>
      <c r="O56" s="299" t="inlineStr">
        <is>
          <t>-</t>
        </is>
      </c>
      <c r="P56" s="296" t="inlineStr">
        <is>
          <t>-</t>
        </is>
      </c>
      <c r="Q56" s="300">
        <f>IF(P56="","",IFERROR(VLOOKUP(O56,FxRateTable,4,TRUE),""))</f>
        <v/>
      </c>
      <c r="R56" s="302">
        <f>IF(P56="","",H56)</f>
        <v/>
      </c>
      <c r="S56" s="302" t="n">
        <v>0</v>
      </c>
      <c r="T56" s="302" t="n">
        <v>0</v>
      </c>
      <c r="U56" s="298" t="n"/>
      <c r="V56" s="296" t="inlineStr">
        <is>
          <t>-</t>
        </is>
      </c>
      <c r="W56" s="302" t="n">
        <v>0</v>
      </c>
      <c r="X56" s="297" t="inlineStr">
        <is>
          <t>-</t>
        </is>
      </c>
      <c r="Y56" s="302" t="n">
        <v>0</v>
      </c>
      <c r="Z56" s="302">
        <f>S56+W56</f>
        <v/>
      </c>
      <c r="AA56" s="302">
        <f>K56+L56+M56+IFERROR(VLOOKUP(B56,RemitTable2,9,FALSE),0)+Y56+Z56</f>
        <v/>
      </c>
      <c r="AB56" s="303" t="n">
        <v>1</v>
      </c>
      <c r="AC56" s="302">
        <f>ROUND(AA56/AB56,0)</f>
        <v/>
      </c>
      <c r="AD56" s="296" t="inlineStr">
        <is>
          <t>2026-01</t>
        </is>
      </c>
      <c r="AE56" s="299" t="inlineStr">
        <is>
          <t>2026-01-01</t>
        </is>
      </c>
      <c r="AF56" s="298" t="inlineStr">
        <is>
          <t>2026-12-31</t>
        </is>
      </c>
    </row>
    <row r="57" ht="15.75" customHeight="1">
      <c r="A57" s="296" t="n">
        <v>41</v>
      </c>
      <c r="B57" s="296" t="inlineStr">
        <is>
          <t>CPO691</t>
        </is>
      </c>
      <c r="C57" s="297" t="inlineStr">
        <is>
          <t>Christie</t>
        </is>
      </c>
      <c r="D57" s="296" t="inlineStr">
        <is>
          <t>Net 45 days</t>
        </is>
      </c>
      <c r="E57" s="297" t="inlineStr">
        <is>
          <t>워런티(EW)</t>
        </is>
      </c>
      <c r="F57" s="298" t="n">
        <v>46057</v>
      </c>
      <c r="G57" s="299" t="n">
        <v>46113</v>
      </c>
      <c r="H57" s="300" t="n">
        <v>24614</v>
      </c>
      <c r="I57" s="301" t="n">
        <v>1505.7</v>
      </c>
      <c r="J57" s="302" t="n">
        <v>37061300</v>
      </c>
      <c r="K57" s="302" t="n">
        <v>37061300</v>
      </c>
      <c r="L57" s="302" t="n">
        <v>8956</v>
      </c>
      <c r="M57" s="302" t="n">
        <v>5732</v>
      </c>
      <c r="N57" s="296" t="inlineStr">
        <is>
          <t>EW (메가박스 외)</t>
        </is>
      </c>
      <c r="O57" s="299" t="inlineStr">
        <is>
          <t>-</t>
        </is>
      </c>
      <c r="P57" s="296" t="inlineStr">
        <is>
          <t>-</t>
        </is>
      </c>
      <c r="Q57" s="300">
        <f>IF(P57="","",IFERROR(VLOOKUP(O57,FxRateTable,4,TRUE),""))</f>
        <v/>
      </c>
      <c r="R57" s="302">
        <f>IF(P57="","",H57)</f>
        <v/>
      </c>
      <c r="S57" s="302" t="n">
        <v>0</v>
      </c>
      <c r="T57" s="302" t="n">
        <v>0</v>
      </c>
      <c r="U57" s="298" t="n"/>
      <c r="V57" s="296" t="inlineStr">
        <is>
          <t>-</t>
        </is>
      </c>
      <c r="W57" s="302" t="n">
        <v>0</v>
      </c>
      <c r="X57" s="297" t="inlineStr">
        <is>
          <t>-</t>
        </is>
      </c>
      <c r="Y57" s="302" t="n">
        <v>0</v>
      </c>
      <c r="Z57" s="302">
        <f>S57+W57</f>
        <v/>
      </c>
      <c r="AA57" s="302">
        <f>K57+L57+M57+IFERROR(VLOOKUP(B57,RemitTable2,9,FALSE),0)+Y57+Z57</f>
        <v/>
      </c>
      <c r="AB57" s="303" t="n">
        <v>1</v>
      </c>
      <c r="AC57" s="302">
        <f>ROUND(AA57/AB57,0)</f>
        <v/>
      </c>
      <c r="AD57" s="296" t="inlineStr">
        <is>
          <t>2026-03</t>
        </is>
      </c>
      <c r="AE57" s="299" t="inlineStr">
        <is>
          <t>2026-03-01</t>
        </is>
      </c>
      <c r="AF57" s="298" t="inlineStr">
        <is>
          <t>2027-02-28</t>
        </is>
      </c>
    </row>
    <row r="58" ht="15.75" customHeight="1">
      <c r="A58" s="296" t="n">
        <v>42</v>
      </c>
      <c r="B58" s="296" t="inlineStr">
        <is>
          <t>GPO469</t>
        </is>
      </c>
      <c r="C58" s="297" t="inlineStr">
        <is>
          <t>GDC</t>
        </is>
      </c>
      <c r="D58" s="296" t="inlineStr">
        <is>
          <t>Net 30 days</t>
        </is>
      </c>
      <c r="E58" s="297" t="inlineStr">
        <is>
          <t>워런티(EW)</t>
        </is>
      </c>
      <c r="F58" s="298" t="n">
        <v>46060</v>
      </c>
      <c r="G58" s="299" t="n">
        <v>46113</v>
      </c>
      <c r="H58" s="300" t="n">
        <v>3993.05</v>
      </c>
      <c r="I58" s="301" t="n">
        <v>1506.4</v>
      </c>
      <c r="J58" s="302" t="n">
        <v>6015131</v>
      </c>
      <c r="K58" s="302" t="n">
        <v>6015131</v>
      </c>
      <c r="L58" s="302" t="n">
        <v>6093</v>
      </c>
      <c r="M58" s="302" t="n">
        <v>4875</v>
      </c>
      <c r="N58" s="296" t="inlineStr">
        <is>
          <t>SR/SX EW (하남미사 외)</t>
        </is>
      </c>
      <c r="O58" s="299" t="inlineStr">
        <is>
          <t>-</t>
        </is>
      </c>
      <c r="P58" s="296" t="inlineStr">
        <is>
          <t>-</t>
        </is>
      </c>
      <c r="Q58" s="300">
        <f>IF(P58="","",IFERROR(VLOOKUP(O58,FxRateTable,4,TRUE),""))</f>
        <v/>
      </c>
      <c r="R58" s="302">
        <f>IF(P58="","",H58)</f>
        <v/>
      </c>
      <c r="S58" s="302" t="n">
        <v>0</v>
      </c>
      <c r="T58" s="302" t="n">
        <v>0</v>
      </c>
      <c r="U58" s="298" t="n"/>
      <c r="V58" s="296" t="inlineStr">
        <is>
          <t>-</t>
        </is>
      </c>
      <c r="W58" s="302" t="n">
        <v>0</v>
      </c>
      <c r="X58" s="297" t="inlineStr">
        <is>
          <t>-</t>
        </is>
      </c>
      <c r="Y58" s="302" t="n">
        <v>0</v>
      </c>
      <c r="Z58" s="302">
        <f>S58+W58</f>
        <v/>
      </c>
      <c r="AA58" s="302">
        <f>K58+L58+M58+IFERROR(VLOOKUP(B58,RemitTable2,9,FALSE),0)+Y58+Z58</f>
        <v/>
      </c>
      <c r="AB58" s="303" t="n">
        <v>1</v>
      </c>
      <c r="AC58" s="302">
        <f>ROUND(AA58/AB58,0)</f>
        <v/>
      </c>
      <c r="AD58" s="296" t="inlineStr">
        <is>
          <t>2026-01</t>
        </is>
      </c>
      <c r="AE58" s="299" t="inlineStr">
        <is>
          <t>2026-01-01</t>
        </is>
      </c>
      <c r="AF58" s="298" t="inlineStr">
        <is>
          <t>2027-02-22</t>
        </is>
      </c>
    </row>
    <row r="59" ht="15.75" customHeight="1">
      <c r="A59" s="296" t="n">
        <v>43</v>
      </c>
      <c r="B59" s="296" t="inlineStr">
        <is>
          <t>GPO470</t>
        </is>
      </c>
      <c r="C59" s="297" t="inlineStr">
        <is>
          <t>GDC</t>
        </is>
      </c>
      <c r="D59" s="296" t="inlineStr">
        <is>
          <t>Net 30 days</t>
        </is>
      </c>
      <c r="E59" s="297" t="inlineStr">
        <is>
          <t>라이센스</t>
        </is>
      </c>
      <c r="F59" s="298" t="n">
        <v>46080</v>
      </c>
      <c r="G59" s="299" t="n">
        <v>46113</v>
      </c>
      <c r="H59" s="300" t="n">
        <v>360</v>
      </c>
      <c r="I59" s="301" t="n">
        <v>1506.4</v>
      </c>
      <c r="J59" s="302" t="n">
        <v>542304</v>
      </c>
      <c r="K59" s="302" t="n">
        <v>542304</v>
      </c>
      <c r="L59" s="302" t="n">
        <v>549</v>
      </c>
      <c r="M59" s="302" t="n">
        <v>439</v>
      </c>
      <c r="N59" s="296" t="inlineStr">
        <is>
          <t>TMS-1000 License</t>
        </is>
      </c>
      <c r="O59" s="299" t="inlineStr">
        <is>
          <t>-</t>
        </is>
      </c>
      <c r="P59" s="296" t="inlineStr">
        <is>
          <t>-</t>
        </is>
      </c>
      <c r="Q59" s="300">
        <f>IF(P59="","",IFERROR(VLOOKUP(O59,FxRateTable,4,TRUE),""))</f>
        <v/>
      </c>
      <c r="R59" s="302">
        <f>IF(P59="","",H59)</f>
        <v/>
      </c>
      <c r="S59" s="302" t="n">
        <v>0</v>
      </c>
      <c r="T59" s="302" t="n">
        <v>0</v>
      </c>
      <c r="U59" s="298" t="n"/>
      <c r="V59" s="296" t="inlineStr">
        <is>
          <t>-</t>
        </is>
      </c>
      <c r="W59" s="302" t="n">
        <v>0</v>
      </c>
      <c r="X59" s="297" t="inlineStr">
        <is>
          <t>-</t>
        </is>
      </c>
      <c r="Y59" s="302" t="n">
        <v>0</v>
      </c>
      <c r="Z59" s="302">
        <f>S59+W59</f>
        <v/>
      </c>
      <c r="AA59" s="302">
        <f>K59+L59+M59+IFERROR(VLOOKUP(B59,RemitTable2,9,FALSE),0)+Y59+Z59</f>
        <v/>
      </c>
      <c r="AB59" s="303" t="n">
        <v>1</v>
      </c>
      <c r="AC59" s="302">
        <f>ROUND(AA59/AB59,0)</f>
        <v/>
      </c>
      <c r="AD59" s="296" t="inlineStr">
        <is>
          <t>2026-03</t>
        </is>
      </c>
      <c r="AE59" s="299" t="inlineStr">
        <is>
          <t>2026-03-01</t>
        </is>
      </c>
      <c r="AF59" s="298" t="inlineStr">
        <is>
          <t>2027-02-28</t>
        </is>
      </c>
    </row>
    <row r="60" ht="15.75" customHeight="1">
      <c r="A60" s="296" t="n">
        <v>44</v>
      </c>
      <c r="B60" s="296" t="inlineStr">
        <is>
          <t>GPO471</t>
        </is>
      </c>
      <c r="C60" s="297" t="inlineStr">
        <is>
          <t>GDC</t>
        </is>
      </c>
      <c r="D60" s="296" t="inlineStr">
        <is>
          <t>Net 30 days</t>
        </is>
      </c>
      <c r="E60" s="297" t="inlineStr">
        <is>
          <t>라이센스</t>
        </is>
      </c>
      <c r="F60" s="298" t="n">
        <v>46088</v>
      </c>
      <c r="G60" s="299" t="n">
        <v>46113</v>
      </c>
      <c r="H60" s="300" t="n">
        <v>500</v>
      </c>
      <c r="I60" s="301" t="n">
        <v>1506.4</v>
      </c>
      <c r="J60" s="302" t="n">
        <v>753200</v>
      </c>
      <c r="K60" s="302" t="n">
        <v>753200</v>
      </c>
      <c r="L60" s="302" t="n">
        <v>763</v>
      </c>
      <c r="M60" s="302" t="n">
        <v>610</v>
      </c>
      <c r="N60" s="296" t="inlineStr">
        <is>
          <t>Dolby Atmos License</t>
        </is>
      </c>
      <c r="O60" s="299" t="inlineStr">
        <is>
          <t>-</t>
        </is>
      </c>
      <c r="P60" s="296" t="inlineStr">
        <is>
          <t>-</t>
        </is>
      </c>
      <c r="Q60" s="300">
        <f>IF(P60="","",IFERROR(VLOOKUP(O60,FxRateTable,4,TRUE),""))</f>
        <v/>
      </c>
      <c r="R60" s="302">
        <f>IF(P60="","",H60)</f>
        <v/>
      </c>
      <c r="S60" s="302" t="n">
        <v>0</v>
      </c>
      <c r="T60" s="302" t="n">
        <v>0</v>
      </c>
      <c r="U60" s="298" t="n"/>
      <c r="V60" s="296" t="inlineStr">
        <is>
          <t>-</t>
        </is>
      </c>
      <c r="W60" s="302" t="n">
        <v>0</v>
      </c>
      <c r="X60" s="297" t="inlineStr">
        <is>
          <t>-</t>
        </is>
      </c>
      <c r="Y60" s="302" t="n">
        <v>0</v>
      </c>
      <c r="Z60" s="302">
        <f>S60+W60</f>
        <v/>
      </c>
      <c r="AA60" s="302">
        <f>K60+L60+M60+IFERROR(VLOOKUP(B60,RemitTable2,9,FALSE),0)+Y60+Z60</f>
        <v/>
      </c>
      <c r="AB60" s="303" t="n">
        <v>1</v>
      </c>
      <c r="AC60" s="302">
        <f>ROUND(AA60/AB60,0)</f>
        <v/>
      </c>
      <c r="AD60" s="296" t="inlineStr">
        <is>
          <t>2026-03</t>
        </is>
      </c>
      <c r="AE60" s="299" t="inlineStr">
        <is>
          <t>-</t>
        </is>
      </c>
      <c r="AF60" s="298" t="inlineStr">
        <is>
          <t>-</t>
        </is>
      </c>
    </row>
    <row r="61" ht="15.75" customHeight="1">
      <c r="A61" s="296" t="n">
        <v>45</v>
      </c>
      <c r="B61" s="296" t="inlineStr">
        <is>
          <t>CPO694</t>
        </is>
      </c>
      <c r="C61" s="297" t="inlineStr">
        <is>
          <t>Christie</t>
        </is>
      </c>
      <c r="D61" s="296" t="inlineStr">
        <is>
          <t>Net 45 days</t>
        </is>
      </c>
      <c r="E61" s="297" t="inlineStr">
        <is>
          <t>워런티(EW)</t>
        </is>
      </c>
      <c r="F61" s="298" t="n">
        <v>46109</v>
      </c>
      <c r="G61" s="299" t="n">
        <v>46146</v>
      </c>
      <c r="H61" s="300" t="n">
        <v>17404</v>
      </c>
      <c r="I61" s="301" t="n">
        <v>1474.9</v>
      </c>
      <c r="J61" s="302" t="n">
        <v>25669160</v>
      </c>
      <c r="K61" s="302" t="n">
        <v>25669160</v>
      </c>
      <c r="L61" s="302" t="n">
        <v>10147</v>
      </c>
      <c r="M61" s="302" t="n">
        <v>6494</v>
      </c>
      <c r="N61" s="296" t="inlineStr">
        <is>
          <t>EW (CGV 동백 외)</t>
        </is>
      </c>
      <c r="O61" s="299" t="inlineStr">
        <is>
          <t>-</t>
        </is>
      </c>
      <c r="P61" s="296" t="inlineStr">
        <is>
          <t>-</t>
        </is>
      </c>
      <c r="Q61" s="300">
        <f>IF(P61="","",IFERROR(VLOOKUP(O61,FxRateTable,4,TRUE),""))</f>
        <v/>
      </c>
      <c r="R61" s="302">
        <f>IF(P61="","",H61)</f>
        <v/>
      </c>
      <c r="S61" s="302" t="n">
        <v>0</v>
      </c>
      <c r="T61" s="302" t="n">
        <v>0</v>
      </c>
      <c r="U61" s="298" t="n"/>
      <c r="V61" s="296" t="inlineStr">
        <is>
          <t>-</t>
        </is>
      </c>
      <c r="W61" s="302" t="n">
        <v>0</v>
      </c>
      <c r="X61" s="297" t="inlineStr">
        <is>
          <t>-</t>
        </is>
      </c>
      <c r="Y61" s="302" t="n">
        <v>0</v>
      </c>
      <c r="Z61" s="302">
        <f>S61+W61</f>
        <v/>
      </c>
      <c r="AA61" s="302">
        <f>K61+L61+M61+IFERROR(VLOOKUP(B61,RemitTable2,9,FALSE),0)+Y61+Z61</f>
        <v/>
      </c>
      <c r="AB61" s="303" t="n">
        <v>1</v>
      </c>
      <c r="AC61" s="302">
        <f>ROUND(AA61/AB61,0)</f>
        <v/>
      </c>
      <c r="AD61" s="296" t="inlineStr">
        <is>
          <t>2026-04</t>
        </is>
      </c>
      <c r="AE61" s="299" t="inlineStr">
        <is>
          <t>2026-04-01</t>
        </is>
      </c>
      <c r="AF61" s="298" t="inlineStr">
        <is>
          <t>2027-03-31</t>
        </is>
      </c>
    </row>
    <row r="62" ht="15.75" customHeight="1">
      <c r="A62" s="304" t="n">
        <v>46</v>
      </c>
      <c r="B62" s="304" t="inlineStr">
        <is>
          <t>CPO697</t>
        </is>
      </c>
      <c r="C62" s="304" t="inlineStr">
        <is>
          <t>Christie</t>
        </is>
      </c>
      <c r="D62" s="304" t="inlineStr">
        <is>
          <t>Net 45 days</t>
        </is>
      </c>
      <c r="E62" s="304" t="inlineStr">
        <is>
          <t>워런티(EW)</t>
        </is>
      </c>
      <c r="F62" s="305" t="n">
        <v>46136</v>
      </c>
      <c r="G62" s="305" t="n">
        <v>46171</v>
      </c>
      <c r="H62" s="306" t="n">
        <v>15289</v>
      </c>
      <c r="I62" s="307" t="n">
        <v>1502.7</v>
      </c>
      <c r="J62" s="308" t="n">
        <v>22974780</v>
      </c>
      <c r="K62" s="308" t="n">
        <v>22974780</v>
      </c>
      <c r="L62" s="308" t="n">
        <v>1880</v>
      </c>
      <c r="M62" s="308" t="n">
        <v>1203</v>
      </c>
      <c r="N62" s="304" t="inlineStr">
        <is>
          <t>EW CP4425/CP2308/CP2315/CP2309/CP2320 13대 (메가박스 북대구 외)</t>
        </is>
      </c>
      <c r="O62" s="305" t="inlineStr">
        <is>
          <t>-</t>
        </is>
      </c>
      <c r="P62" s="304" t="inlineStr">
        <is>
          <t>-</t>
        </is>
      </c>
      <c r="Q62" s="306">
        <f>IF(P62="","",IFERROR(VLOOKUP(O62,FxRateTable,4,TRUE),""))</f>
        <v/>
      </c>
      <c r="R62" s="306">
        <f>IF(P62="","",H62)</f>
        <v/>
      </c>
      <c r="S62" s="308" t="n">
        <v>0</v>
      </c>
      <c r="T62" s="308" t="n">
        <v>0</v>
      </c>
      <c r="U62" s="305" t="n"/>
      <c r="V62" s="304" t="inlineStr">
        <is>
          <t>-</t>
        </is>
      </c>
      <c r="W62" s="308" t="n">
        <v>0</v>
      </c>
      <c r="X62" s="304" t="inlineStr">
        <is>
          <t>-</t>
        </is>
      </c>
      <c r="Y62" s="308" t="n">
        <v>0</v>
      </c>
      <c r="Z62" s="308">
        <f>S62+W62</f>
        <v/>
      </c>
      <c r="AA62" s="308">
        <f>K62+L62+M62+IFERROR(VLOOKUP(B62,RemitTable2,9,FALSE),0)+Y62+Z62</f>
        <v/>
      </c>
      <c r="AB62" s="309" t="n">
        <v>1</v>
      </c>
      <c r="AC62" s="308">
        <f>ROUND(AA62/AB62,0)</f>
        <v/>
      </c>
      <c r="AD62" s="304" t="inlineStr">
        <is>
          <t>2026-04</t>
        </is>
      </c>
      <c r="AE62" s="305" t="n">
        <v>46168</v>
      </c>
      <c r="AF62" s="305" t="n">
        <v>46532</v>
      </c>
    </row>
    <row r="63" ht="15.75" customHeight="1">
      <c r="A63" s="304" t="n">
        <v>47</v>
      </c>
      <c r="B63" s="304" t="inlineStr">
        <is>
          <t>CPO693-2</t>
        </is>
      </c>
      <c r="C63" s="304" t="inlineStr">
        <is>
          <t>Christie</t>
        </is>
      </c>
      <c r="D63" s="304" t="inlineStr">
        <is>
          <t>Net 45 days</t>
        </is>
      </c>
      <c r="E63" s="304" t="inlineStr">
        <is>
          <t>워런티(EW)</t>
        </is>
      </c>
      <c r="F63" s="305" t="n">
        <v>46133</v>
      </c>
      <c r="G63" s="305" t="inlineStr">
        <is>
          <t>-</t>
        </is>
      </c>
      <c r="H63" s="306" t="n">
        <v>2550</v>
      </c>
      <c r="I63" s="307">
        <f>IFERROR(VLOOKUP(B62,RemitTable2,7,FALSE),0)</f>
        <v/>
      </c>
      <c r="J63" s="308" t="n">
        <v>0</v>
      </c>
      <c r="K63" s="308">
        <f>IFERROR(ROUND(H62*I62,0),0)</f>
        <v/>
      </c>
      <c r="L63" s="308">
        <f>IFERROR(VLOOKUP(B62,RemitTable2,10,FALSE),0)</f>
        <v/>
      </c>
      <c r="M63" s="308">
        <f>IFERROR(VLOOKUP(B62,RemitTable2,11,FALSE),0)</f>
        <v/>
      </c>
      <c r="N63" s="304" t="inlineStr">
        <is>
          <t>CP4420-RGB 2년 워런티 (CGV 구미)</t>
        </is>
      </c>
      <c r="O63" s="305" t="inlineStr">
        <is>
          <t>-</t>
        </is>
      </c>
      <c r="P63" s="304" t="inlineStr">
        <is>
          <t>-</t>
        </is>
      </c>
      <c r="Q63" s="306">
        <f>IF(P63="","",IFERROR(VLOOKUP(O63,FxRateTable,4,TRUE),""))</f>
        <v/>
      </c>
      <c r="R63" s="306">
        <f>IF(P63="","",H63)</f>
        <v/>
      </c>
      <c r="S63" s="308" t="n">
        <v>0</v>
      </c>
      <c r="T63" s="308" t="n">
        <v>0</v>
      </c>
      <c r="U63" s="305" t="n"/>
      <c r="V63" s="304" t="inlineStr">
        <is>
          <t>-</t>
        </is>
      </c>
      <c r="W63" s="308" t="n">
        <v>0</v>
      </c>
      <c r="X63" s="304" t="inlineStr">
        <is>
          <t>-</t>
        </is>
      </c>
      <c r="Y63" s="308" t="n">
        <v>0</v>
      </c>
      <c r="Z63" s="308">
        <f>S63+W63</f>
        <v/>
      </c>
      <c r="AA63" s="308">
        <f>K63+L63+M63+IFERROR(VLOOKUP(B63,RemitTable2,9,FALSE),0)+Y63+Z63</f>
        <v/>
      </c>
      <c r="AB63" s="309" t="n">
        <v>1</v>
      </c>
      <c r="AC63" s="308">
        <f>ROUND(AA63/AB63,0)</f>
        <v/>
      </c>
      <c r="AD63" s="304" t="inlineStr">
        <is>
          <t>2026-04</t>
        </is>
      </c>
      <c r="AE63" s="305" t="n">
        <v>46142</v>
      </c>
      <c r="AF63" s="305" t="n">
        <v>46872</v>
      </c>
    </row>
    <row r="64" ht="15.75" customHeight="1">
      <c r="A64" s="132" t="n">
        <v>54</v>
      </c>
      <c r="B64" s="132" t="inlineStr">
        <is>
          <t>GPO478</t>
        </is>
      </c>
      <c r="C64" s="132" t="inlineStr">
        <is>
          <t>GDC</t>
        </is>
      </c>
      <c r="D64" s="132" t="inlineStr">
        <is>
          <t>Net 30 days</t>
        </is>
      </c>
      <c r="E64" s="132" t="inlineStr">
        <is>
          <t>라이센스</t>
        </is>
      </c>
      <c r="F64" s="188" t="n">
        <v>46127</v>
      </c>
      <c r="G64" s="188" t="n">
        <v>46161</v>
      </c>
      <c r="H64" s="134" t="n">
        <v>180</v>
      </c>
      <c r="I64" s="134" t="n">
        <v>1518.9</v>
      </c>
      <c r="J64" s="136" t="n">
        <v>273402</v>
      </c>
      <c r="K64" s="136" t="n">
        <v>273402</v>
      </c>
      <c r="L64" s="136" t="n">
        <v>2500</v>
      </c>
      <c r="M64" s="136" t="n">
        <v>8000</v>
      </c>
      <c r="N64" s="137" t="n"/>
      <c r="O64" s="189" t="n"/>
      <c r="P64" s="137" t="n"/>
      <c r="Q64" s="134">
        <f>IF(P64="","",IFERROR(VLOOKUP(O64,FxRateTable,4,TRUE),""))</f>
        <v/>
      </c>
      <c r="R64" s="134">
        <f>IF(P64="","",H64)</f>
        <v/>
      </c>
      <c r="S64" s="136" t="n">
        <v>0</v>
      </c>
      <c r="T64" s="136" t="n">
        <v>0</v>
      </c>
      <c r="U64" s="188" t="n"/>
      <c r="V64" s="137" t="n"/>
      <c r="W64" s="136" t="n">
        <v>0</v>
      </c>
      <c r="X64" s="132" t="inlineStr">
        <is>
          <t>-</t>
        </is>
      </c>
      <c r="Y64" s="136" t="n">
        <v>0</v>
      </c>
      <c r="Z64" s="136">
        <f>S64+W64</f>
        <v/>
      </c>
      <c r="AA64" s="136">
        <f>K64+L64+M64+IFERROR(VLOOKUP(B64,RemitTable2,9,FALSE),0)+Y64+Z64</f>
        <v/>
      </c>
      <c r="AB64" s="168" t="n">
        <v>2</v>
      </c>
      <c r="AC64" s="136">
        <f>ROUND(AA64/AB64,0)</f>
        <v/>
      </c>
      <c r="AD64" s="137" t="inlineStr">
        <is>
          <t>2026-05</t>
        </is>
      </c>
      <c r="AE64" s="189" t="n">
        <v>46143</v>
      </c>
      <c r="AF64" s="189" t="n">
        <v>46507</v>
      </c>
    </row>
    <row r="65" ht="15.75" customHeight="1">
      <c r="A65" s="132" t="n">
        <v>55</v>
      </c>
      <c r="B65" s="132" t="inlineStr">
        <is>
          <t>GPO480</t>
        </is>
      </c>
      <c r="C65" s="132" t="inlineStr">
        <is>
          <t>GDC</t>
        </is>
      </c>
      <c r="D65" s="132" t="inlineStr">
        <is>
          <t>Net 30 days</t>
        </is>
      </c>
      <c r="E65" s="132" t="inlineStr">
        <is>
          <t>라이센스</t>
        </is>
      </c>
      <c r="F65" s="188" t="n">
        <v>46137</v>
      </c>
      <c r="G65" s="188" t="n">
        <v>46171</v>
      </c>
      <c r="H65" s="134" t="n">
        <v>250</v>
      </c>
      <c r="I65" s="134" t="n">
        <v>1502.8</v>
      </c>
      <c r="J65" s="136" t="n">
        <v>375700</v>
      </c>
      <c r="K65" s="136" t="n">
        <v>375700</v>
      </c>
      <c r="L65" s="136" t="n">
        <v>32</v>
      </c>
      <c r="M65" s="136" t="n">
        <v>20</v>
      </c>
      <c r="N65" s="137" t="n"/>
      <c r="O65" s="189" t="n"/>
      <c r="P65" s="137" t="n"/>
      <c r="Q65" s="134">
        <f>IF(P65="","",IFERROR(VLOOKUP(O65,FxRateTable,4,TRUE),""))</f>
        <v/>
      </c>
      <c r="R65" s="134">
        <f>IF(P65="","",H65)</f>
        <v/>
      </c>
      <c r="S65" s="136" t="n">
        <v>0</v>
      </c>
      <c r="T65" s="136" t="n">
        <v>0</v>
      </c>
      <c r="U65" s="188" t="n"/>
      <c r="V65" s="137" t="n"/>
      <c r="W65" s="136" t="n">
        <v>0</v>
      </c>
      <c r="X65" s="132" t="inlineStr">
        <is>
          <t>-</t>
        </is>
      </c>
      <c r="Y65" s="136" t="n">
        <v>0</v>
      </c>
      <c r="Z65" s="136">
        <f>S65+W65</f>
        <v/>
      </c>
      <c r="AA65" s="136">
        <f>K65+L65+M65+IFERROR(VLOOKUP(B65,RemitTable2,9,FALSE),0)+Y65+Z65</f>
        <v/>
      </c>
      <c r="AB65" s="168" t="n">
        <v>1</v>
      </c>
      <c r="AC65" s="136">
        <f>ROUND(AA65/AB65,0)</f>
        <v/>
      </c>
      <c r="AD65" s="137" t="inlineStr">
        <is>
          <t>2026-05</t>
        </is>
      </c>
      <c r="AE65" s="189" t="n">
        <v>46143</v>
      </c>
      <c r="AF65" s="189" t="n">
        <v>49795</v>
      </c>
    </row>
    <row r="66" ht="15.75" customHeight="1">
      <c r="A66" s="132" t="n">
        <v>56</v>
      </c>
      <c r="B66" s="132" t="inlineStr">
        <is>
          <t>GPO481</t>
        </is>
      </c>
      <c r="C66" s="132" t="inlineStr">
        <is>
          <t>GDC</t>
        </is>
      </c>
      <c r="D66" s="132" t="inlineStr">
        <is>
          <t>Net 30 days</t>
        </is>
      </c>
      <c r="E66" s="132" t="inlineStr">
        <is>
          <t>라이센스</t>
        </is>
      </c>
      <c r="F66" s="188" t="n">
        <v>46152</v>
      </c>
      <c r="G66" s="188" t="n">
        <v>46183</v>
      </c>
      <c r="H66" s="134" t="n">
        <v>500</v>
      </c>
      <c r="I66" s="134" t="n">
        <v>1525.3</v>
      </c>
      <c r="J66" s="136" t="n">
        <v>762650</v>
      </c>
      <c r="K66" s="136" t="n">
        <v>762650</v>
      </c>
      <c r="L66" s="136" t="n">
        <v>52</v>
      </c>
      <c r="M66" s="136" t="n">
        <v>34</v>
      </c>
      <c r="N66" s="137" t="n"/>
      <c r="O66" s="189" t="n"/>
      <c r="P66" s="137" t="n"/>
      <c r="Q66" s="134">
        <f>IF(P66="","",IFERROR(VLOOKUP(O66,FxRateTable,4,TRUE),""))</f>
        <v/>
      </c>
      <c r="R66" s="134">
        <f>IF(P66="","",H66)</f>
        <v/>
      </c>
      <c r="S66" s="136" t="n">
        <v>0</v>
      </c>
      <c r="T66" s="136" t="n">
        <v>0</v>
      </c>
      <c r="U66" s="188" t="n"/>
      <c r="V66" s="137" t="n"/>
      <c r="W66" s="136" t="n">
        <v>0</v>
      </c>
      <c r="X66" s="132" t="inlineStr">
        <is>
          <t>-</t>
        </is>
      </c>
      <c r="Y66" s="136" t="n">
        <v>0</v>
      </c>
      <c r="Z66" s="136">
        <f>S66+W66</f>
        <v/>
      </c>
      <c r="AA66" s="136">
        <f>K66+L66+M66+IFERROR(VLOOKUP(B66,RemitTable2,9,FALSE),0)+Y66+Z66</f>
        <v/>
      </c>
      <c r="AB66" s="168" t="n">
        <v>1</v>
      </c>
      <c r="AC66" s="136">
        <f>ROUND(AA66/AB66,0)</f>
        <v/>
      </c>
      <c r="AD66" s="137" t="inlineStr">
        <is>
          <t>2026-06</t>
        </is>
      </c>
      <c r="AE66" s="189" t="inlineStr">
        <is>
          <t>-</t>
        </is>
      </c>
      <c r="AF66" s="189" t="inlineStr">
        <is>
          <t>-</t>
        </is>
      </c>
    </row>
    <row r="67" ht="15.75" customHeight="1">
      <c r="A67" s="132" t="n">
        <v>65</v>
      </c>
      <c r="B67" s="132" t="inlineStr">
        <is>
          <t>GPO475</t>
        </is>
      </c>
      <c r="C67" s="132" t="inlineStr">
        <is>
          <t>GDC</t>
        </is>
      </c>
      <c r="D67" s="132" t="inlineStr">
        <is>
          <t>Net 30 days</t>
        </is>
      </c>
      <c r="E67" s="132" t="inlineStr">
        <is>
          <t>라이센스</t>
        </is>
      </c>
      <c r="F67" s="188" t="n">
        <v>46127</v>
      </c>
      <c r="G67" s="188" t="n">
        <v>46190</v>
      </c>
      <c r="H67" s="134" t="n">
        <v>540</v>
      </c>
      <c r="I67" s="134" t="n">
        <v>1516.8</v>
      </c>
      <c r="J67" s="136" t="n">
        <v>819072</v>
      </c>
      <c r="K67" s="136" t="n">
        <v>819072</v>
      </c>
      <c r="L67" s="136" t="n">
        <v>1985</v>
      </c>
      <c r="M67" s="136" t="n">
        <v>2118</v>
      </c>
      <c r="N67" s="137" t="inlineStr">
        <is>
          <t>TMS-1000 License 6 screens (CGV 안동)</t>
        </is>
      </c>
      <c r="O67" s="189" t="n"/>
      <c r="P67" s="137" t="n"/>
      <c r="Q67" s="134">
        <f>IF(P67="","",IFERROR(VLOOKUP(O67,FxRateTable,4,TRUE),""))</f>
        <v/>
      </c>
      <c r="R67" s="134">
        <f>IF(P67="","",H67)</f>
        <v/>
      </c>
      <c r="S67" s="136" t="n">
        <v>0</v>
      </c>
      <c r="T67" s="136" t="n">
        <v>0</v>
      </c>
      <c r="U67" s="188" t="n"/>
      <c r="V67" s="137" t="n"/>
      <c r="W67" s="136" t="n">
        <v>0</v>
      </c>
      <c r="X67" s="132" t="inlineStr">
        <is>
          <t>-</t>
        </is>
      </c>
      <c r="Y67" s="136" t="n">
        <v>0</v>
      </c>
      <c r="Z67" s="136">
        <f>S67+W67</f>
        <v/>
      </c>
      <c r="AA67" s="136">
        <f>K67+L67+M67+IFERROR(VLOOKUP(B67,RemitTable2,9,FALSE),0)+Y67+Z67</f>
        <v/>
      </c>
      <c r="AB67" s="168" t="n">
        <v>6</v>
      </c>
      <c r="AC67" s="136">
        <f>ROUND(AA67/AB67,0)</f>
        <v/>
      </c>
      <c r="AD67" s="137" t="inlineStr">
        <is>
          <t>2026-05</t>
        </is>
      </c>
      <c r="AE67" s="189" t="n">
        <v>46143</v>
      </c>
      <c r="AF67" s="189" t="n">
        <v>46507</v>
      </c>
    </row>
    <row r="68" ht="15.75" customHeight="1">
      <c r="A68" s="132" t="n">
        <v>68</v>
      </c>
      <c r="B68" s="132" t="inlineStr">
        <is>
          <t>CPO702</t>
        </is>
      </c>
      <c r="C68" s="132" t="inlineStr">
        <is>
          <t>Christie</t>
        </is>
      </c>
      <c r="D68" s="132" t="inlineStr">
        <is>
          <t>Net 45 days</t>
        </is>
      </c>
      <c r="E68" s="132" t="inlineStr">
        <is>
          <t>워런티(EW)</t>
        </is>
      </c>
      <c r="F68" s="188" t="n">
        <v>46181</v>
      </c>
      <c r="G68" s="188" t="inlineStr">
        <is>
          <t>-</t>
        </is>
      </c>
      <c r="H68" s="134" t="n">
        <v>32715</v>
      </c>
      <c r="I68" s="134" t="n">
        <v>0</v>
      </c>
      <c r="J68" s="136" t="n">
        <v>0</v>
      </c>
      <c r="K68" s="136" t="n">
        <v>0</v>
      </c>
      <c r="L68" s="136" t="n">
        <v>0</v>
      </c>
      <c r="M68" s="136" t="n">
        <v>0</v>
      </c>
      <c r="N68" s="137" t="inlineStr">
        <is>
          <t>EW CP2215/CP2309-RGB 24대 (롯데 영천/CineQ 청라/CGV 동두천 외)</t>
        </is>
      </c>
      <c r="O68" s="189" t="n"/>
      <c r="P68" s="137" t="n"/>
      <c r="Q68" s="134">
        <f>IF(P68="","",IFERROR(VLOOKUP(O68,FxRateTable,4,TRUE),""))</f>
        <v/>
      </c>
      <c r="R68" s="134">
        <f>IF(P68="","",H68)</f>
        <v/>
      </c>
      <c r="S68" s="136" t="n">
        <v>0</v>
      </c>
      <c r="T68" s="136" t="n">
        <v>0</v>
      </c>
      <c r="U68" s="188" t="n"/>
      <c r="V68" s="137" t="inlineStr">
        <is>
          <t>-</t>
        </is>
      </c>
      <c r="W68" s="136" t="n">
        <v>0</v>
      </c>
      <c r="X68" s="132" t="inlineStr">
        <is>
          <t>-</t>
        </is>
      </c>
      <c r="Y68" s="136" t="n">
        <v>0</v>
      </c>
      <c r="Z68" s="136">
        <f>S68+W68</f>
        <v/>
      </c>
      <c r="AA68" s="136">
        <f>K68+L68+M68+IFERROR(VLOOKUP(B68,RemitTable2,9,FALSE),0)+Y68+Z68</f>
        <v/>
      </c>
      <c r="AB68" s="168" t="n">
        <v>24</v>
      </c>
      <c r="AC68" s="136">
        <f>ROUND(AA68/AB68,0)</f>
        <v/>
      </c>
      <c r="AD68" s="137" t="inlineStr">
        <is>
          <t>2026-06</t>
        </is>
      </c>
      <c r="AE68" s="189" t="n">
        <v>46192</v>
      </c>
      <c r="AF68" s="189" t="n">
        <v>46752</v>
      </c>
    </row>
    <row r="69" ht="15.75" customHeight="1">
      <c r="A69" s="132" t="n">
        <v>69</v>
      </c>
      <c r="B69" s="132" t="inlineStr">
        <is>
          <t>GPO486</t>
        </is>
      </c>
      <c r="C69" s="132" t="inlineStr">
        <is>
          <t>GDC</t>
        </is>
      </c>
      <c r="D69" s="132" t="inlineStr">
        <is>
          <t>Net 30 days</t>
        </is>
      </c>
      <c r="E69" s="132" t="inlineStr">
        <is>
          <t>라이센스</t>
        </is>
      </c>
      <c r="F69" s="188" t="n">
        <v>46182</v>
      </c>
      <c r="G69" s="188" t="inlineStr">
        <is>
          <t>-</t>
        </is>
      </c>
      <c r="H69" s="134" t="n">
        <v>450</v>
      </c>
      <c r="I69" s="134" t="n">
        <v>0</v>
      </c>
      <c r="J69" s="136" t="n">
        <v>0</v>
      </c>
      <c r="K69" s="136" t="n">
        <v>0</v>
      </c>
      <c r="L69" s="136" t="n">
        <v>0</v>
      </c>
      <c r="M69" s="136" t="n">
        <v>0</v>
      </c>
      <c r="N69" s="137" t="inlineStr">
        <is>
          <t>TMS-1000 License Extension 5screens (메가박스 경산 하양)</t>
        </is>
      </c>
      <c r="O69" s="189" t="n"/>
      <c r="P69" s="137" t="n"/>
      <c r="Q69" s="134">
        <f>IF(P69="","",IFERROR(VLOOKUP(O69,FxRateTable,4,TRUE),""))</f>
        <v/>
      </c>
      <c r="R69" s="134">
        <f>IF(P69="","",H69)</f>
        <v/>
      </c>
      <c r="S69" s="136" t="n">
        <v>0</v>
      </c>
      <c r="T69" s="136" t="n">
        <v>0</v>
      </c>
      <c r="U69" s="188" t="n"/>
      <c r="V69" s="137" t="inlineStr">
        <is>
          <t>-</t>
        </is>
      </c>
      <c r="W69" s="136" t="n">
        <v>0</v>
      </c>
      <c r="X69" s="132" t="inlineStr">
        <is>
          <t>-</t>
        </is>
      </c>
      <c r="Y69" s="136" t="n">
        <v>0</v>
      </c>
      <c r="Z69" s="136">
        <f>S69+W69</f>
        <v/>
      </c>
      <c r="AA69" s="136">
        <f>K69+L69+M69+IFERROR(VLOOKUP(B69,RemitTable2,9,FALSE),0)+Y69+Z69</f>
        <v/>
      </c>
      <c r="AB69" s="168" t="n">
        <v>5</v>
      </c>
      <c r="AC69" s="136">
        <f>ROUND(AA69/AB69,0)</f>
        <v/>
      </c>
      <c r="AD69" s="137" t="inlineStr">
        <is>
          <t>2026-07</t>
        </is>
      </c>
      <c r="AE69" s="189" t="n">
        <v>46204</v>
      </c>
      <c r="AF69" s="189" t="n">
        <v>46568</v>
      </c>
    </row>
    <row r="70" ht="15.75" customHeight="1">
      <c r="A70" s="132" t="n">
        <v>70</v>
      </c>
      <c r="B70" s="132" t="inlineStr">
        <is>
          <t>GPO484</t>
        </is>
      </c>
      <c r="C70" s="132" t="inlineStr">
        <is>
          <t>GDC</t>
        </is>
      </c>
      <c r="D70" s="132" t="inlineStr">
        <is>
          <t>Net 30 days</t>
        </is>
      </c>
      <c r="E70" s="132" t="inlineStr">
        <is>
          <t>워런티(EW)</t>
        </is>
      </c>
      <c r="F70" s="188" t="n">
        <v>46183</v>
      </c>
      <c r="G70" s="188" t="inlineStr">
        <is>
          <t>-</t>
        </is>
      </c>
      <c r="H70" s="134" t="n">
        <v>7407.81</v>
      </c>
      <c r="I70" s="134" t="n">
        <v>0</v>
      </c>
      <c r="J70" s="136" t="n">
        <v>0</v>
      </c>
      <c r="K70" s="136" t="n">
        <v>0</v>
      </c>
      <c r="L70" s="136" t="n">
        <v>0</v>
      </c>
      <c r="M70" s="136" t="n">
        <v>0</v>
      </c>
      <c r="N70" s="137" t="inlineStr">
        <is>
          <t>SR-1000/SX-4000 Warranty Ext 11대 (CGV 진주혁신/합천/구례)</t>
        </is>
      </c>
      <c r="O70" s="189" t="n"/>
      <c r="P70" s="137" t="n"/>
      <c r="Q70" s="134">
        <f>IF(P70="","",IFERROR(VLOOKUP(O70,FxRateTable,4,TRUE),""))</f>
        <v/>
      </c>
      <c r="R70" s="134">
        <f>IF(P70="","",H70)</f>
        <v/>
      </c>
      <c r="S70" s="136" t="n">
        <v>0</v>
      </c>
      <c r="T70" s="136" t="n">
        <v>0</v>
      </c>
      <c r="U70" s="188" t="n"/>
      <c r="V70" s="137" t="inlineStr">
        <is>
          <t>-</t>
        </is>
      </c>
      <c r="W70" s="136" t="n">
        <v>0</v>
      </c>
      <c r="X70" s="132" t="inlineStr">
        <is>
          <t>-</t>
        </is>
      </c>
      <c r="Y70" s="136" t="n">
        <v>0</v>
      </c>
      <c r="Z70" s="136">
        <f>S70+W70</f>
        <v/>
      </c>
      <c r="AA70" s="136">
        <f>K70+L70+M70+IFERROR(VLOOKUP(B70,RemitTable2,9,FALSE),0)+Y70+Z70</f>
        <v/>
      </c>
      <c r="AB70" s="168" t="n">
        <v>11</v>
      </c>
      <c r="AC70" s="136">
        <f>ROUND(AA70/AB70,0)</f>
        <v/>
      </c>
      <c r="AD70" s="137" t="inlineStr">
        <is>
          <t>2026-05</t>
        </is>
      </c>
      <c r="AE70" s="189" t="n">
        <v>46156</v>
      </c>
      <c r="AF70" s="189" t="n">
        <v>46752</v>
      </c>
    </row>
    <row r="71" ht="15.75" customHeight="1">
      <c r="A71" s="132" t="n">
        <v>71</v>
      </c>
      <c r="B71" s="132" t="inlineStr">
        <is>
          <t>GPO489</t>
        </is>
      </c>
      <c r="C71" s="132" t="inlineStr">
        <is>
          <t>GDC</t>
        </is>
      </c>
      <c r="D71" s="132" t="inlineStr">
        <is>
          <t>Net 30 days</t>
        </is>
      </c>
      <c r="E71" s="132" t="inlineStr">
        <is>
          <t>라이센스</t>
        </is>
      </c>
      <c r="F71" s="188" t="n">
        <v>46196</v>
      </c>
      <c r="G71" s="188" t="inlineStr">
        <is>
          <t>-</t>
        </is>
      </c>
      <c r="H71" s="134" t="n">
        <v>3320</v>
      </c>
      <c r="I71" s="134" t="n">
        <v>0</v>
      </c>
      <c r="J71" s="136" t="n">
        <v>0</v>
      </c>
      <c r="K71" s="136" t="n">
        <v>0</v>
      </c>
      <c r="L71" s="136" t="n">
        <v>0</v>
      </c>
      <c r="M71" s="136" t="n">
        <v>0</v>
      </c>
      <c r="N71" s="137" t="inlineStr">
        <is>
          <t>TMS License 7사이트 32screens (메가박스 삼천포/CGV 대구수성 외)</t>
        </is>
      </c>
      <c r="O71" s="189" t="n"/>
      <c r="P71" s="137" t="n"/>
      <c r="Q71" s="134">
        <f>IF(P71="","",IFERROR(VLOOKUP(O71,FxRateTable,4,TRUE),""))</f>
        <v/>
      </c>
      <c r="R71" s="134">
        <f>IF(P71="","",H71)</f>
        <v/>
      </c>
      <c r="S71" s="136" t="n">
        <v>0</v>
      </c>
      <c r="T71" s="136" t="n">
        <v>0</v>
      </c>
      <c r="U71" s="188" t="n"/>
      <c r="V71" s="137" t="inlineStr">
        <is>
          <t>-</t>
        </is>
      </c>
      <c r="W71" s="136" t="n">
        <v>0</v>
      </c>
      <c r="X71" s="132" t="inlineStr">
        <is>
          <t>-</t>
        </is>
      </c>
      <c r="Y71" s="136" t="n">
        <v>0</v>
      </c>
      <c r="Z71" s="136">
        <f>S71+W71</f>
        <v/>
      </c>
      <c r="AA71" s="136">
        <f>K71+L71+M71+IFERROR(VLOOKUP(B71,RemitTable2,9,FALSE),0)+Y71+Z71</f>
        <v/>
      </c>
      <c r="AB71" s="168" t="n">
        <v>32</v>
      </c>
      <c r="AC71" s="136">
        <f>ROUND(AA71/AB71,0)</f>
        <v/>
      </c>
      <c r="AD71" s="137" t="inlineStr">
        <is>
          <t>2026-07</t>
        </is>
      </c>
      <c r="AE71" s="189" t="n">
        <v>46204</v>
      </c>
      <c r="AF71" s="189" t="n">
        <v>46568</v>
      </c>
    </row>
    <row r="72" ht="15.75" customHeight="1">
      <c r="A72" s="284" t="n">
        <v>48</v>
      </c>
      <c r="B72" s="284" t="inlineStr">
        <is>
          <t>CPO688</t>
        </is>
      </c>
      <c r="C72" s="285" t="inlineStr">
        <is>
          <t>Christie</t>
        </is>
      </c>
      <c r="D72" s="284" t="inlineStr">
        <is>
          <t>Net 45 days</t>
        </is>
      </c>
      <c r="E72" s="285" t="inlineStr">
        <is>
          <t>Inspection</t>
        </is>
      </c>
      <c r="F72" s="286" t="n">
        <v>46037</v>
      </c>
      <c r="G72" s="287" t="inlineStr">
        <is>
          <t>-</t>
        </is>
      </c>
      <c r="H72" s="288" t="n">
        <v>4180</v>
      </c>
      <c r="I72" s="289">
        <f>IFERROR(VLOOKUP(B67,RemitTable2,7,FALSE),0)</f>
        <v/>
      </c>
      <c r="J72" s="290" t="n">
        <v>0</v>
      </c>
      <c r="K72" s="290">
        <f>IFERROR(ROUND(H67*I67,0),0)</f>
        <v/>
      </c>
      <c r="L72" s="290">
        <f>IFERROR(VLOOKUP(B67,RemitTable2,10,FALSE),0)</f>
        <v/>
      </c>
      <c r="M72" s="290">
        <f>IFERROR(VLOOKUP(B67,RemitTable2,11,FALSE),0)</f>
        <v/>
      </c>
      <c r="N72" s="284" t="inlineStr">
        <is>
          <t>Inspection fee</t>
        </is>
      </c>
      <c r="O72" s="287" t="inlineStr">
        <is>
          <t>-</t>
        </is>
      </c>
      <c r="P72" s="284" t="inlineStr">
        <is>
          <t>-</t>
        </is>
      </c>
      <c r="Q72" s="288">
        <f>IF(P72="","",IFERROR(VLOOKUP(O72,FxRateTable,4,TRUE),""))</f>
        <v/>
      </c>
      <c r="R72" s="290">
        <f>IF(P72="","",H72)</f>
        <v/>
      </c>
      <c r="S72" s="290" t="n">
        <v>0</v>
      </c>
      <c r="T72" s="290" t="n">
        <v>0</v>
      </c>
      <c r="U72" s="286" t="n"/>
      <c r="V72" s="284" t="inlineStr">
        <is>
          <t>-</t>
        </is>
      </c>
      <c r="W72" s="290" t="n">
        <v>0</v>
      </c>
      <c r="X72" s="285" t="inlineStr">
        <is>
          <t>-</t>
        </is>
      </c>
      <c r="Y72" s="290" t="n">
        <v>0</v>
      </c>
      <c r="Z72" s="290">
        <f>S72+W72</f>
        <v/>
      </c>
      <c r="AA72" s="290">
        <f>K72+L72+M72+IFERROR(VLOOKUP(B72,RemitTable2,9,FALSE),0)+Y72+Z72</f>
        <v/>
      </c>
      <c r="AB72" s="291" t="n">
        <v>1</v>
      </c>
      <c r="AC72" s="290">
        <f>ROUND(AA72/AB72,0)</f>
        <v/>
      </c>
      <c r="AD72" s="284" t="inlineStr">
        <is>
          <t>2026-01</t>
        </is>
      </c>
      <c r="AE72" s="287" t="inlineStr">
        <is>
          <t>-</t>
        </is>
      </c>
      <c r="AF72" s="286" t="inlineStr">
        <is>
          <t>-</t>
        </is>
      </c>
    </row>
    <row r="73" ht="15.75" customHeight="1">
      <c r="A73" s="284" t="n">
        <v>49</v>
      </c>
      <c r="B73" s="284" t="inlineStr">
        <is>
          <t>SX3000수리</t>
        </is>
      </c>
      <c r="C73" s="285" t="inlineStr">
        <is>
          <t>GDC</t>
        </is>
      </c>
      <c r="D73" s="284" t="inlineStr">
        <is>
          <t>-</t>
        </is>
      </c>
      <c r="E73" s="285" t="inlineStr">
        <is>
          <t>수리반환</t>
        </is>
      </c>
      <c r="F73" s="286" t="n"/>
      <c r="G73" s="287" t="inlineStr">
        <is>
          <t>-</t>
        </is>
      </c>
      <c r="H73" s="288" t="n">
        <v>400</v>
      </c>
      <c r="I73" s="289">
        <f>IFERROR(VLOOKUP(B68,RemitTable2,7,FALSE),0)</f>
        <v/>
      </c>
      <c r="J73" s="290" t="n">
        <v>0</v>
      </c>
      <c r="K73" s="290">
        <f>IFERROR(ROUND(H68*I68,0),0)</f>
        <v/>
      </c>
      <c r="L73" s="290">
        <f>IFERROR(VLOOKUP(B68,RemitTable2,10,FALSE),0)</f>
        <v/>
      </c>
      <c r="M73" s="290">
        <f>IFERROR(VLOOKUP(B68,RemitTable2,11,FALSE),0)</f>
        <v/>
      </c>
      <c r="N73" s="284" t="inlineStr">
        <is>
          <t>Display Card (수리반환 5PCS)</t>
        </is>
      </c>
      <c r="O73" s="287" t="n">
        <v>46125</v>
      </c>
      <c r="P73" s="284" t="inlineStr">
        <is>
          <t>22356-26-351613M</t>
        </is>
      </c>
      <c r="Q73" s="288">
        <f>IF(P73="","",IFERROR(VLOOKUP(O73,FxRateTable,4,TRUE),""))</f>
        <v/>
      </c>
      <c r="R73" s="290">
        <f>IF(P73="","",H73)</f>
        <v/>
      </c>
      <c r="S73" s="290" t="n">
        <v>0</v>
      </c>
      <c r="T73" s="290" t="n">
        <v>67750</v>
      </c>
      <c r="U73" s="286" t="n"/>
      <c r="V73" s="284" t="inlineStr">
        <is>
          <t>운서합동</t>
        </is>
      </c>
      <c r="W73" s="290" t="n">
        <v>0</v>
      </c>
      <c r="X73" s="285" t="inlineStr">
        <is>
          <t>DHL</t>
        </is>
      </c>
      <c r="Y73" s="290" t="n">
        <v>216006</v>
      </c>
      <c r="Z73" s="290">
        <f>S73+W73</f>
        <v/>
      </c>
      <c r="AA73" s="290">
        <f>K73+L73+M73+IFERROR(VLOOKUP(B73,RemitTable2,9,FALSE),0)+Y73+Z73</f>
        <v/>
      </c>
      <c r="AB73" s="291" t="n">
        <v>5</v>
      </c>
      <c r="AC73" s="290">
        <f>ROUND(AA73/AB73,0)</f>
        <v/>
      </c>
      <c r="AD73" s="284" t="inlineStr">
        <is>
          <t>2026-04</t>
        </is>
      </c>
      <c r="AE73" s="287" t="n"/>
      <c r="AF73" s="286" t="n"/>
    </row>
    <row r="74" ht="15.75" customHeight="1">
      <c r="A74" s="216" t="n">
        <v>59</v>
      </c>
      <c r="B74" s="216" t="inlineStr">
        <is>
          <t>FRC-MONOPLEX26</t>
        </is>
      </c>
      <c r="C74" s="217" t="inlineStr">
        <is>
          <t>Ferco</t>
        </is>
      </c>
      <c r="D74" s="216" t="inlineStr">
        <is>
          <t>50% TT advance + 50% balance</t>
        </is>
      </c>
      <c r="E74" s="217" t="inlineStr">
        <is>
          <t>기타</t>
        </is>
      </c>
      <c r="F74" s="218" t="n">
        <v>46048</v>
      </c>
      <c r="G74" s="219" t="n">
        <v>46133</v>
      </c>
      <c r="H74" s="220" t="n">
        <v>51952</v>
      </c>
      <c r="I74" s="221">
        <f>IFERROR(VLOOKUP(B69,RemitTable2,7,FALSE),0)</f>
        <v/>
      </c>
      <c r="J74" s="222" t="n">
        <v>75818749</v>
      </c>
      <c r="K74" s="222" t="n">
        <v>75818749</v>
      </c>
      <c r="L74" s="222" t="n">
        <v>25000</v>
      </c>
      <c r="M74" s="222" t="n">
        <v>16000</v>
      </c>
      <c r="N74" s="216" t="inlineStr">
        <is>
          <t>Cinema Seat (Recliner) / 44 EA / Monoplex DH Bangbae</t>
        </is>
      </c>
      <c r="O74" s="219" t="n">
        <v>46153</v>
      </c>
      <c r="P74" s="216" t="inlineStr">
        <is>
          <t>14008-26-101147M</t>
        </is>
      </c>
      <c r="Q74" s="220">
        <f>IF(P74="","",IFERROR(VLOOKUP(O74,FxRateTable,4,TRUE),""))</f>
        <v/>
      </c>
      <c r="R74" s="220">
        <f>IF(P74="","",H74)</f>
        <v/>
      </c>
      <c r="S74" s="222" t="n">
        <v>31050</v>
      </c>
      <c r="T74" s="222" t="n">
        <v>7959560</v>
      </c>
      <c r="U74" s="218" t="n"/>
      <c r="V74" s="216" t="inlineStr">
        <is>
          <t>조운관세사무소</t>
        </is>
      </c>
      <c r="W74" s="222" t="n">
        <v>250000</v>
      </c>
      <c r="X74" s="217" t="inlineStr">
        <is>
          <t>진로직스</t>
        </is>
      </c>
      <c r="Y74" s="222" t="n">
        <v>5002612</v>
      </c>
      <c r="Z74" s="222">
        <f>S74+W74</f>
        <v/>
      </c>
      <c r="AA74" s="222">
        <f>K74+L74+M74+IFERROR(VLOOKUP(B74,RemitTable2,9,FALSE),0)+Y74+Z74</f>
        <v/>
      </c>
      <c r="AB74" s="223" t="n">
        <v>44</v>
      </c>
      <c r="AC74" s="222">
        <f>ROUND(AA74/AB74,0)</f>
        <v/>
      </c>
      <c r="AD74" s="216" t="inlineStr">
        <is>
          <t>2026-05</t>
        </is>
      </c>
      <c r="AE74" s="219" t="n"/>
      <c r="AF74" s="218" t="n"/>
    </row>
    <row r="75" ht="15.75" customHeight="1">
      <c r="A75" s="284" t="n">
        <v>66</v>
      </c>
      <c r="B75" s="284" t="inlineStr">
        <is>
          <t>GPO475-수리</t>
        </is>
      </c>
      <c r="C75" s="285" t="inlineStr">
        <is>
          <t>GDC</t>
        </is>
      </c>
      <c r="D75" s="284" t="inlineStr">
        <is>
          <t>Net 30 days</t>
        </is>
      </c>
      <c r="E75" s="285" t="inlineStr">
        <is>
          <t>수리</t>
        </is>
      </c>
      <c r="F75" s="286" t="n">
        <v>46126</v>
      </c>
      <c r="G75" s="287" t="n">
        <v>46190</v>
      </c>
      <c r="H75" s="288" t="n">
        <v>1500</v>
      </c>
      <c r="I75" s="289" t="n">
        <v>1516.8</v>
      </c>
      <c r="J75" s="290" t="n">
        <v>2275200</v>
      </c>
      <c r="K75" s="290" t="n">
        <v>2275200</v>
      </c>
      <c r="L75" s="290" t="n">
        <v>5515</v>
      </c>
      <c r="M75" s="290" t="n">
        <v>5882</v>
      </c>
      <c r="N75" s="284" t="inlineStr">
        <is>
          <t>SR-1000 IMB Inspection+Repair (SN A78267)</t>
        </is>
      </c>
      <c r="O75" s="287" t="n"/>
      <c r="P75" s="284" t="n"/>
      <c r="Q75" s="288">
        <f>IF(P75="","",IFERROR(VLOOKUP(O75,FxRateTable,4,TRUE),""))</f>
        <v/>
      </c>
      <c r="R75" s="290">
        <f>IF(P75="","",H75)</f>
        <v/>
      </c>
      <c r="S75" s="290" t="n">
        <v>0</v>
      </c>
      <c r="T75" s="290" t="n">
        <v>0</v>
      </c>
      <c r="U75" s="286" t="n"/>
      <c r="V75" s="284" t="n"/>
      <c r="W75" s="290" t="n">
        <v>0</v>
      </c>
      <c r="X75" s="285" t="inlineStr">
        <is>
          <t>-</t>
        </is>
      </c>
      <c r="Y75" s="290" t="n">
        <v>0</v>
      </c>
      <c r="Z75" s="290">
        <f>S75+W75</f>
        <v/>
      </c>
      <c r="AA75" s="290">
        <f>K75+L75+M75+IFERROR(VLOOKUP(B75,RemitTable2,9,FALSE),0)+Y75+Z75</f>
        <v/>
      </c>
      <c r="AB75" s="291" t="n">
        <v>1</v>
      </c>
      <c r="AC75" s="290">
        <f>ROUND(AA75/AB75,0)</f>
        <v/>
      </c>
      <c r="AD75" s="284" t="n"/>
      <c r="AE75" s="287" t="n"/>
      <c r="AF75" s="286" t="n"/>
    </row>
    <row r="76" ht="15.75" customHeight="1">
      <c r="A76" s="147" t="inlineStr">
        <is>
          <t>장비/부품 합계</t>
        </is>
      </c>
      <c r="B76" s="148" t="n"/>
      <c r="C76" s="148" t="n"/>
      <c r="D76" s="148" t="n"/>
      <c r="E76" s="148" t="n"/>
      <c r="F76" s="148" t="n"/>
      <c r="G76" s="149" t="n"/>
      <c r="H76" s="142">
        <f>SUBTOTAL(9,H5:H44)</f>
        <v/>
      </c>
      <c r="I76" s="141" t="n"/>
      <c r="J76" s="142">
        <f>SUBTOTAL(9,J5:J44)</f>
        <v/>
      </c>
      <c r="K76" s="142">
        <f>SUBTOTAL(9,K5:K44)</f>
        <v/>
      </c>
      <c r="L76" s="142">
        <f>SUBTOTAL(9,L5:L44)</f>
        <v/>
      </c>
      <c r="M76" s="142">
        <f>SUBTOTAL(9,M5:M44)</f>
        <v/>
      </c>
      <c r="N76" s="141" t="n"/>
      <c r="O76" s="141" t="n"/>
      <c r="P76" s="141" t="n"/>
      <c r="Q76" s="142" t="n"/>
      <c r="R76" s="140" t="n"/>
      <c r="S76" s="142">
        <f>SUBTOTAL(9,S5:S44)</f>
        <v/>
      </c>
      <c r="T76" s="142">
        <f>SUBTOTAL(9,T5:T44)</f>
        <v/>
      </c>
      <c r="U76" s="147" t="n"/>
      <c r="V76" s="141" t="n"/>
      <c r="W76" s="142">
        <f>SUBTOTAL(9,W5:W44)</f>
        <v/>
      </c>
      <c r="X76" s="147" t="n"/>
      <c r="Y76" s="142">
        <f>SUBTOTAL(9,Y5:Y44)</f>
        <v/>
      </c>
      <c r="Z76" s="142">
        <f>SUBTOTAL(9,Z5:Z44)</f>
        <v/>
      </c>
      <c r="AA76" s="142">
        <f>SUBTOTAL(9,AA5:AA44)</f>
        <v/>
      </c>
      <c r="AB76" s="147" t="n"/>
      <c r="AC76" s="141" t="n"/>
      <c r="AD76" s="141" t="n"/>
      <c r="AE76" s="141" t="n"/>
      <c r="AF76" s="141" t="n"/>
    </row>
    <row r="77" ht="15.75" customHeight="1">
      <c r="A77" s="147" t="inlineStr">
        <is>
          <t>라이센스/워런티 합계</t>
        </is>
      </c>
      <c r="B77" s="148" t="n"/>
      <c r="C77" s="148" t="n"/>
      <c r="D77" s="148" t="n"/>
      <c r="E77" s="148" t="n"/>
      <c r="F77" s="148" t="n"/>
      <c r="G77" s="149" t="n"/>
      <c r="H77" s="142">
        <f>SUBTOTAL(9,H45:H71)</f>
        <v/>
      </c>
      <c r="I77" s="141" t="n"/>
      <c r="J77" s="142">
        <f>SUBTOTAL(9,J45:J71)</f>
        <v/>
      </c>
      <c r="K77" s="142">
        <f>SUBTOTAL(9,K45:K71)</f>
        <v/>
      </c>
      <c r="L77" s="142">
        <f>SUBTOTAL(9,L45:L71)</f>
        <v/>
      </c>
      <c r="M77" s="142">
        <f>SUBTOTAL(9,M45:M71)</f>
        <v/>
      </c>
      <c r="N77" s="141" t="n"/>
      <c r="O77" s="141" t="n"/>
      <c r="P77" s="141" t="n"/>
      <c r="Q77" s="142" t="n"/>
      <c r="R77" s="140" t="n"/>
      <c r="S77" s="142">
        <f>SUBTOTAL(9,S45:S71)</f>
        <v/>
      </c>
      <c r="T77" s="142">
        <f>SUBTOTAL(9,T45:T71)</f>
        <v/>
      </c>
      <c r="U77" s="147" t="n"/>
      <c r="V77" s="141" t="n"/>
      <c r="W77" s="142">
        <f>SUBTOTAL(9,W45:W71)</f>
        <v/>
      </c>
      <c r="X77" s="147" t="n"/>
      <c r="Y77" s="142">
        <f>SUBTOTAL(9,Y45:Y71)</f>
        <v/>
      </c>
      <c r="Z77" s="142">
        <f>SUBTOTAL(9,Z45:Z71)</f>
        <v/>
      </c>
      <c r="AA77" s="142">
        <f>SUBTOTAL(9,AA45:AA71)</f>
        <v/>
      </c>
      <c r="AB77" s="147" t="n"/>
      <c r="AC77" s="141" t="n"/>
      <c r="AD77" s="141" t="n"/>
      <c r="AE77" s="141" t="n"/>
      <c r="AF77" s="141" t="n"/>
    </row>
    <row r="78" ht="15.75" customHeight="1">
      <c r="A78" s="147" t="inlineStr">
        <is>
          <t>기타 합계</t>
        </is>
      </c>
      <c r="B78" s="148" t="n"/>
      <c r="C78" s="148" t="n"/>
      <c r="D78" s="148" t="n"/>
      <c r="E78" s="148" t="n"/>
      <c r="F78" s="148" t="n"/>
      <c r="G78" s="149" t="n"/>
      <c r="H78" s="142">
        <f>SUBTOTAL(9,H72:H75)</f>
        <v/>
      </c>
      <c r="I78" s="141" t="n"/>
      <c r="J78" s="142">
        <f>SUBTOTAL(9,J72:J75)</f>
        <v/>
      </c>
      <c r="K78" s="142">
        <f>SUBTOTAL(9,K72:K75)</f>
        <v/>
      </c>
      <c r="L78" s="142">
        <f>SUBTOTAL(9,L72:L75)</f>
        <v/>
      </c>
      <c r="M78" s="142">
        <f>SUBTOTAL(9,M72:M75)</f>
        <v/>
      </c>
      <c r="N78" s="141" t="n"/>
      <c r="O78" s="141" t="n"/>
      <c r="P78" s="141" t="n"/>
      <c r="Q78" s="142" t="n"/>
      <c r="R78" s="140" t="n"/>
      <c r="S78" s="142">
        <f>SUBTOTAL(9,S72:S75)</f>
        <v/>
      </c>
      <c r="T78" s="142">
        <f>SUBTOTAL(9,T72:T75)</f>
        <v/>
      </c>
      <c r="U78" s="147" t="n"/>
      <c r="V78" s="141" t="n"/>
      <c r="W78" s="142">
        <f>SUBTOTAL(9,W72:W75)</f>
        <v/>
      </c>
      <c r="X78" s="147" t="n"/>
      <c r="Y78" s="142">
        <f>SUBTOTAL(9,Y72:Y75)</f>
        <v/>
      </c>
      <c r="Z78" s="142">
        <f>SUBTOTAL(9,Z72:Z75)</f>
        <v/>
      </c>
      <c r="AA78" s="142">
        <f>SUBTOTAL(9,AA72:AA75)</f>
        <v/>
      </c>
      <c r="AB78" s="147" t="n"/>
      <c r="AC78" s="141" t="n"/>
      <c r="AD78" s="141" t="n"/>
      <c r="AE78" s="141" t="n"/>
      <c r="AF78" s="141" t="n"/>
    </row>
    <row r="79" ht="15.75" customHeight="1">
      <c r="A79" s="154" t="inlineStr">
        <is>
          <t>총 합계</t>
        </is>
      </c>
      <c r="B79" s="148" t="n"/>
      <c r="C79" s="148" t="n"/>
      <c r="D79" s="148" t="n"/>
      <c r="E79" s="148" t="n"/>
      <c r="F79" s="148" t="n"/>
      <c r="G79" s="149" t="n"/>
      <c r="H79" s="146">
        <f>SUBTOTAL(9,H5:H75)</f>
        <v/>
      </c>
      <c r="I79" s="145" t="n"/>
      <c r="J79" s="146">
        <f>SUBTOTAL(9,J5:J75)</f>
        <v/>
      </c>
      <c r="K79" s="146">
        <f>SUBTOTAL(9,K5:K75)</f>
        <v/>
      </c>
      <c r="L79" s="146">
        <f>SUBTOTAL(9,L5:L75)</f>
        <v/>
      </c>
      <c r="M79" s="146">
        <f>SUBTOTAL(9,M5:M75)</f>
        <v/>
      </c>
      <c r="N79" s="145" t="n"/>
      <c r="O79" s="145" t="n"/>
      <c r="P79" s="145" t="n"/>
      <c r="Q79" s="146" t="n"/>
      <c r="R79" s="144" t="n"/>
      <c r="S79" s="146">
        <f>SUBTOTAL(9,S5:S75)</f>
        <v/>
      </c>
      <c r="T79" s="146">
        <f>SUBTOTAL(9,T5:T75)</f>
        <v/>
      </c>
      <c r="U79" s="154" t="n"/>
      <c r="V79" s="145" t="n"/>
      <c r="W79" s="146">
        <f>SUBTOTAL(9,W5:W75)</f>
        <v/>
      </c>
      <c r="X79" s="154" t="n"/>
      <c r="Y79" s="146">
        <f>SUBTOTAL(9,Y5:Y75)</f>
        <v/>
      </c>
      <c r="Z79" s="146">
        <f>SUBTOTAL(9,Z5:Z75)</f>
        <v/>
      </c>
      <c r="AA79" s="146">
        <f>SUBTOTAL(9,AA5:AA75)</f>
        <v/>
      </c>
      <c r="AB79" s="154" t="n"/>
      <c r="AC79" s="145" t="n"/>
      <c r="AD79" s="145" t="n"/>
      <c r="AE79" s="145" t="n"/>
      <c r="AF79" s="145" t="n"/>
    </row>
    <row r="80"/>
    <row r="81"/>
    <row r="82"/>
    <row r="83"/>
    <row r="84"/>
    <row r="85"/>
    <row r="86"/>
    <row r="87"/>
    <row r="88"/>
    <row r="89"/>
    <row r="90"/>
    <row r="91"/>
    <row r="92"/>
    <row r="93">
      <c r="M93" s="40" t="n"/>
    </row>
  </sheetData>
  <mergeCells count="12">
    <mergeCell ref="G3:N3"/>
    <mergeCell ref="A79:G79"/>
    <mergeCell ref="A1:AF1"/>
    <mergeCell ref="A77:G77"/>
    <mergeCell ref="A78:G78"/>
    <mergeCell ref="AD3:AF3"/>
    <mergeCell ref="X3:Z3"/>
    <mergeCell ref="A3:F3"/>
    <mergeCell ref="A76:G76"/>
    <mergeCell ref="AA3:AC3"/>
    <mergeCell ref="O3:W3"/>
    <mergeCell ref="A2:AF2"/>
  </mergeCells>
  <hyperlinks>
    <hyperlink xmlns:r="http://schemas.openxmlformats.org/officeDocument/2006/relationships" ref="A1" r:id="rId1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70"/>
  <sheetViews>
    <sheetView showGridLines="0" zoomScaleNormal="100" workbookViewId="0">
      <selection activeCell="F44" sqref="F44"/>
    </sheetView>
  </sheetViews>
  <sheetFormatPr baseColWidth="10" defaultColWidth="8.6640625" defaultRowHeight="17"/>
  <cols>
    <col width="5" customWidth="1" style="160" min="1" max="1"/>
    <col width="12" customWidth="1" style="160" min="2" max="2"/>
    <col width="9" customWidth="1" style="73" min="3" max="3"/>
    <col width="12" customWidth="1" style="73" min="4" max="4"/>
    <col width="14" customWidth="1" style="160" min="5" max="5"/>
    <col width="28" customWidth="1" style="73" min="6" max="6"/>
    <col width="12.5" customWidth="1" style="73" min="7" max="10"/>
    <col width="10.6640625" customWidth="1" style="73" min="11" max="11"/>
    <col width="8.6640625" customWidth="1" style="160" min="12" max="16"/>
    <col width="8.6640625" customWidth="1" style="160" min="17" max="16384"/>
  </cols>
  <sheetData>
    <row r="1" ht="24" customHeight="1">
      <c r="A1" s="169" t="inlineStr">
        <is>
          <t>라이센스 / 워런티 계약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9" t="n"/>
      <c r="L1" s="113" t="n"/>
      <c r="M1" s="113" t="n"/>
    </row>
    <row r="2" ht="28" customHeight="1">
      <c r="A2" s="150" t="inlineStr">
        <is>
          <t>No.</t>
        </is>
      </c>
      <c r="B2" s="150" t="inlineStr">
        <is>
          <t>PO No.</t>
        </is>
      </c>
      <c r="C2" s="150" t="inlineStr">
        <is>
          <t>업체</t>
        </is>
      </c>
      <c r="D2" s="150" t="inlineStr">
        <is>
          <t>구분</t>
        </is>
      </c>
      <c r="E2" s="150" t="inlineStr">
        <is>
          <t>Invoice(USD)</t>
        </is>
      </c>
      <c r="F2" s="150" t="inlineStr">
        <is>
          <t>품명</t>
        </is>
      </c>
      <c r="G2" s="150" t="inlineStr">
        <is>
          <t>PO일자</t>
        </is>
      </c>
      <c r="H2" s="150" t="inlineStr">
        <is>
          <t>송금일</t>
        </is>
      </c>
      <c r="I2" s="150" t="inlineStr">
        <is>
          <t>계약시작</t>
        </is>
      </c>
      <c r="J2" s="150" t="inlineStr">
        <is>
          <t>계약종료</t>
        </is>
      </c>
      <c r="K2" s="150" t="inlineStr">
        <is>
          <t>상태</t>
        </is>
      </c>
      <c r="L2" s="114" t="n"/>
      <c r="M2" s="114" t="n"/>
    </row>
    <row r="3" ht="15.75" customHeight="1">
      <c r="A3" s="20" t="n">
        <v>1</v>
      </c>
      <c r="B3" s="20" t="inlineStr">
        <is>
          <t>CPO667</t>
        </is>
      </c>
      <c r="C3" s="21" t="inlineStr">
        <is>
          <t>Christie</t>
        </is>
      </c>
      <c r="D3" s="21" t="inlineStr">
        <is>
          <t>워런티(EW)</t>
        </is>
      </c>
      <c r="E3" s="76" t="n">
        <v>5673</v>
      </c>
      <c r="F3" s="20" t="inlineStr">
        <is>
          <t>EW CP2220</t>
        </is>
      </c>
      <c r="G3" s="184" t="n">
        <v>45925</v>
      </c>
      <c r="H3" s="184" t="n">
        <v>46080</v>
      </c>
      <c r="I3" s="184" t="n">
        <v>45913</v>
      </c>
      <c r="J3" s="184" t="n">
        <v>46262</v>
      </c>
      <c r="K3" s="20" t="inlineStr">
        <is>
          <t>라이센스</t>
        </is>
      </c>
      <c r="L3" s="115" t="n"/>
      <c r="M3" s="115" t="n"/>
    </row>
    <row r="4" ht="15.75" customHeight="1">
      <c r="A4" s="20" t="n">
        <v>2</v>
      </c>
      <c r="B4" s="20" t="inlineStr">
        <is>
          <t>GPO458</t>
        </is>
      </c>
      <c r="C4" s="21" t="inlineStr">
        <is>
          <t>GDC</t>
        </is>
      </c>
      <c r="D4" s="21" t="inlineStr">
        <is>
          <t>라이센스</t>
        </is>
      </c>
      <c r="E4" s="76" t="n">
        <v>350</v>
      </c>
      <c r="F4" s="20" t="inlineStr">
        <is>
          <t>HFR License</t>
        </is>
      </c>
      <c r="G4" s="184" t="n">
        <v>45982</v>
      </c>
      <c r="H4" s="184" t="n">
        <v>46014</v>
      </c>
      <c r="I4" s="184" t="n">
        <v>45992</v>
      </c>
      <c r="J4" s="184" t="n">
        <v>46356</v>
      </c>
      <c r="K4" s="20" t="inlineStr">
        <is>
          <t>라이센스</t>
        </is>
      </c>
      <c r="L4" s="115" t="n"/>
      <c r="M4" s="115" t="n"/>
    </row>
    <row r="5" ht="15.75" customHeight="1">
      <c r="A5" s="20" t="n">
        <v>3</v>
      </c>
      <c r="B5" s="20" t="inlineStr">
        <is>
          <t>CPO681</t>
        </is>
      </c>
      <c r="C5" s="21" t="inlineStr">
        <is>
          <t>Christie</t>
        </is>
      </c>
      <c r="D5" s="21" t="inlineStr">
        <is>
          <t>워런티(EW)</t>
        </is>
      </c>
      <c r="E5" s="76" t="n">
        <v>26358</v>
      </c>
      <c r="F5" s="20" t="inlineStr">
        <is>
          <t>EW CP2309/2315/2320-RGB</t>
        </is>
      </c>
      <c r="G5" s="184" t="n">
        <v>45993</v>
      </c>
      <c r="H5" s="184" t="n">
        <v>46064</v>
      </c>
      <c r="I5" s="184" t="n">
        <v>46013</v>
      </c>
      <c r="J5" s="184" t="n">
        <v>46377</v>
      </c>
      <c r="K5" s="20" t="inlineStr">
        <is>
          <t>라이센스</t>
        </is>
      </c>
      <c r="L5" s="115" t="n"/>
      <c r="M5" s="115" t="n"/>
    </row>
    <row r="6" ht="15.75" customHeight="1">
      <c r="A6" s="20" t="n">
        <v>4</v>
      </c>
      <c r="B6" s="20" t="inlineStr">
        <is>
          <t>GPO459</t>
        </is>
      </c>
      <c r="C6" s="21" t="inlineStr">
        <is>
          <t>GDC</t>
        </is>
      </c>
      <c r="D6" s="21" t="inlineStr">
        <is>
          <t>워런티(EW)</t>
        </is>
      </c>
      <c r="E6" s="76" t="n">
        <v>450</v>
      </c>
      <c r="F6" s="20" t="inlineStr">
        <is>
          <t>TMS-2000 EW</t>
        </is>
      </c>
      <c r="G6" s="184" t="n">
        <v>46007</v>
      </c>
      <c r="H6" s="184" t="n">
        <v>46043</v>
      </c>
      <c r="I6" s="184" t="n">
        <v>46023</v>
      </c>
      <c r="J6" s="184" t="n">
        <v>46387</v>
      </c>
      <c r="K6" s="20" t="inlineStr">
        <is>
          <t>라이센스</t>
        </is>
      </c>
      <c r="L6" s="115" t="n"/>
      <c r="M6" s="115" t="n"/>
    </row>
    <row r="7" ht="15.75" customHeight="1">
      <c r="A7" s="20" t="n">
        <v>5</v>
      </c>
      <c r="B7" s="20" t="inlineStr">
        <is>
          <t>GPO461</t>
        </is>
      </c>
      <c r="C7" s="21" t="inlineStr">
        <is>
          <t>GDC</t>
        </is>
      </c>
      <c r="D7" s="21" t="inlineStr">
        <is>
          <t>워런티(EW)</t>
        </is>
      </c>
      <c r="E7" s="76" t="n">
        <v>540</v>
      </c>
      <c r="F7" s="20" t="inlineStr">
        <is>
          <t>TMS-1000 EW</t>
        </is>
      </c>
      <c r="G7" s="184" t="n">
        <v>46007</v>
      </c>
      <c r="H7" s="184" t="n">
        <v>46043</v>
      </c>
      <c r="I7" s="184" t="n">
        <v>45962</v>
      </c>
      <c r="J7" s="184" t="n">
        <v>46325</v>
      </c>
      <c r="K7" s="20" t="inlineStr">
        <is>
          <t>라이센스</t>
        </is>
      </c>
      <c r="L7" s="115" t="n"/>
      <c r="M7" s="115" t="n"/>
    </row>
    <row r="8" ht="15.75" customHeight="1">
      <c r="A8" s="20" t="n">
        <v>6</v>
      </c>
      <c r="B8" s="20" t="inlineStr">
        <is>
          <t>CPO685</t>
        </is>
      </c>
      <c r="C8" s="21" t="inlineStr">
        <is>
          <t>Christie</t>
        </is>
      </c>
      <c r="D8" s="21" t="inlineStr">
        <is>
          <t>워런티(EW)</t>
        </is>
      </c>
      <c r="E8" s="76" t="n">
        <v>136516</v>
      </c>
      <c r="F8" s="20" t="inlineStr">
        <is>
          <t>EW 대량 (CP2208~CP4450)</t>
        </is>
      </c>
      <c r="G8" s="184" t="n">
        <v>46010</v>
      </c>
      <c r="H8" s="184" t="n">
        <v>46080</v>
      </c>
      <c r="I8" s="184" t="n">
        <v>46023</v>
      </c>
      <c r="J8" s="184" t="n">
        <v>46387</v>
      </c>
      <c r="K8" s="20" t="inlineStr">
        <is>
          <t>라이센스</t>
        </is>
      </c>
      <c r="L8" s="115" t="n"/>
      <c r="M8" s="115" t="n"/>
    </row>
    <row r="9" ht="15.75" customHeight="1">
      <c r="A9" s="20" t="n">
        <v>7</v>
      </c>
      <c r="B9" s="20" t="inlineStr">
        <is>
          <t>GPO465</t>
        </is>
      </c>
      <c r="C9" s="21" t="inlineStr">
        <is>
          <t>GDC</t>
        </is>
      </c>
      <c r="D9" s="21" t="inlineStr">
        <is>
          <t>워런티(EW)</t>
        </is>
      </c>
      <c r="E9" s="76" t="n">
        <v>76054</v>
      </c>
      <c r="F9" s="20" t="inlineStr">
        <is>
          <t>EW 대량 (SR/SX/TMS)</t>
        </is>
      </c>
      <c r="G9" s="184" t="n">
        <v>46015</v>
      </c>
      <c r="H9" s="20" t="inlineStr">
        <is>
          <t>-</t>
        </is>
      </c>
      <c r="I9" s="184" t="n">
        <v>46023</v>
      </c>
      <c r="J9" s="184" t="n">
        <v>46387</v>
      </c>
      <c r="K9" s="20" t="inlineStr">
        <is>
          <t>라이센스</t>
        </is>
      </c>
      <c r="L9" s="115" t="n"/>
      <c r="M9" s="115" t="n"/>
    </row>
    <row r="10" ht="15.75" customHeight="1">
      <c r="A10" s="20" t="n">
        <v>8</v>
      </c>
      <c r="B10" s="20" t="inlineStr">
        <is>
          <t>CPO686</t>
        </is>
      </c>
      <c r="C10" s="21" t="inlineStr">
        <is>
          <t>Christie</t>
        </is>
      </c>
      <c r="D10" s="21" t="inlineStr">
        <is>
          <t>워런티(EW)</t>
        </is>
      </c>
      <c r="E10" s="76" t="n">
        <v>14793</v>
      </c>
      <c r="F10" s="20" t="inlineStr">
        <is>
          <t>EW CP2315/CP4440-RGB</t>
        </is>
      </c>
      <c r="G10" s="184" t="n">
        <v>46029</v>
      </c>
      <c r="H10" s="184" t="n">
        <v>46072</v>
      </c>
      <c r="I10" s="184" t="n">
        <v>46052</v>
      </c>
      <c r="J10" s="184" t="n">
        <v>46416</v>
      </c>
      <c r="K10" s="20" t="inlineStr">
        <is>
          <t>라이센스</t>
        </is>
      </c>
      <c r="L10" s="115" t="n"/>
      <c r="M10" s="115" t="n"/>
    </row>
    <row r="11" ht="15.75" customHeight="1">
      <c r="A11" s="20" t="n">
        <v>9</v>
      </c>
      <c r="B11" s="20" t="inlineStr">
        <is>
          <t>CPO687</t>
        </is>
      </c>
      <c r="C11" s="21" t="inlineStr">
        <is>
          <t>Christie</t>
        </is>
      </c>
      <c r="D11" s="21" t="inlineStr">
        <is>
          <t>워런티(EW)</t>
        </is>
      </c>
      <c r="E11" s="76" t="n">
        <v>26656</v>
      </c>
      <c r="F11" s="20" t="inlineStr">
        <is>
          <t>EW (홀딩)</t>
        </is>
      </c>
      <c r="G11" s="184" t="n">
        <v>46029</v>
      </c>
      <c r="H11" s="20" t="inlineStr">
        <is>
          <t>-</t>
        </is>
      </c>
      <c r="I11" s="20" t="inlineStr">
        <is>
          <t>미확인</t>
        </is>
      </c>
      <c r="J11" s="20" t="inlineStr">
        <is>
          <t>미확인</t>
        </is>
      </c>
      <c r="K11" s="20" t="inlineStr">
        <is>
          <t>홀딩</t>
        </is>
      </c>
      <c r="L11" s="115" t="n"/>
      <c r="M11" s="115" t="n"/>
    </row>
    <row r="12" ht="15.75" customHeight="1">
      <c r="A12" s="20" t="n">
        <v>10</v>
      </c>
      <c r="B12" s="20" t="inlineStr">
        <is>
          <t>GPO462</t>
        </is>
      </c>
      <c r="C12" s="21" t="inlineStr">
        <is>
          <t>GDC</t>
        </is>
      </c>
      <c r="D12" s="21" t="inlineStr">
        <is>
          <t>라이센스</t>
        </is>
      </c>
      <c r="E12" s="76" t="n">
        <v>1440</v>
      </c>
      <c r="F12" s="20" t="inlineStr">
        <is>
          <t>TMS-2000 License</t>
        </is>
      </c>
      <c r="G12" s="184" t="n">
        <v>46042</v>
      </c>
      <c r="H12" s="184" t="n">
        <v>46057</v>
      </c>
      <c r="I12" s="184" t="n">
        <v>46023</v>
      </c>
      <c r="J12" s="184" t="n">
        <v>46387</v>
      </c>
      <c r="K12" s="20" t="inlineStr">
        <is>
          <t>라이센스</t>
        </is>
      </c>
      <c r="L12" s="115" t="n"/>
      <c r="M12" s="115" t="n"/>
    </row>
    <row r="13" ht="15.75" customHeight="1">
      <c r="A13" s="20" t="n">
        <v>11</v>
      </c>
      <c r="B13" s="20" t="inlineStr">
        <is>
          <t>GPO463</t>
        </is>
      </c>
      <c r="C13" s="21" t="inlineStr">
        <is>
          <t>GDC</t>
        </is>
      </c>
      <c r="D13" s="21" t="inlineStr">
        <is>
          <t>워런티(EW)</t>
        </is>
      </c>
      <c r="E13" s="76" t="n">
        <v>4489</v>
      </c>
      <c r="F13" s="20" t="inlineStr">
        <is>
          <t>SX/SR EW (CGV/Lotte)</t>
        </is>
      </c>
      <c r="G13" s="184" t="n">
        <v>46042</v>
      </c>
      <c r="H13" s="184" t="n">
        <v>46057</v>
      </c>
      <c r="I13" s="184" t="n">
        <v>46023</v>
      </c>
      <c r="J13" s="184" t="n">
        <v>46387</v>
      </c>
      <c r="K13" s="20" t="inlineStr">
        <is>
          <t>라이센스</t>
        </is>
      </c>
      <c r="L13" s="115" t="n"/>
      <c r="M13" s="115" t="n"/>
    </row>
    <row r="14" ht="15.75" customHeight="1">
      <c r="A14" s="20" t="n">
        <v>12</v>
      </c>
      <c r="B14" s="20" t="inlineStr">
        <is>
          <t>GPO464</t>
        </is>
      </c>
      <c r="C14" s="21" t="inlineStr">
        <is>
          <t>GDC</t>
        </is>
      </c>
      <c r="D14" s="21" t="inlineStr">
        <is>
          <t>워런티(EW)</t>
        </is>
      </c>
      <c r="E14" s="76" t="n">
        <v>5670.57</v>
      </c>
      <c r="F14" s="20" t="inlineStr">
        <is>
          <t>SR-1000/SX-3000 EW</t>
        </is>
      </c>
      <c r="G14" s="184" t="n">
        <v>46042</v>
      </c>
      <c r="H14" s="184" t="n">
        <v>46057</v>
      </c>
      <c r="I14" s="184" t="n">
        <v>46023</v>
      </c>
      <c r="J14" s="184" t="n">
        <v>46387</v>
      </c>
      <c r="K14" s="20" t="inlineStr">
        <is>
          <t>라이센스</t>
        </is>
      </c>
      <c r="L14" s="115" t="n"/>
      <c r="M14" s="115" t="n"/>
    </row>
    <row r="15" ht="15.75" customHeight="1">
      <c r="A15" s="20" t="n">
        <v>13</v>
      </c>
      <c r="B15" s="20" t="inlineStr">
        <is>
          <t>CPO691</t>
        </is>
      </c>
      <c r="C15" s="21" t="inlineStr">
        <is>
          <t>Christie</t>
        </is>
      </c>
      <c r="D15" s="21" t="inlineStr">
        <is>
          <t>워런티(EW)</t>
        </is>
      </c>
      <c r="E15" s="76" t="n">
        <v>24614</v>
      </c>
      <c r="F15" s="20" t="inlineStr">
        <is>
          <t>EW (메가박스 외)</t>
        </is>
      </c>
      <c r="G15" s="184" t="n">
        <v>46057</v>
      </c>
      <c r="H15" s="184" t="n">
        <v>46113</v>
      </c>
      <c r="I15" s="184" t="n">
        <v>46082</v>
      </c>
      <c r="J15" s="190" t="n">
        <v>46446</v>
      </c>
      <c r="K15" s="20" t="inlineStr">
        <is>
          <t>라이센스</t>
        </is>
      </c>
      <c r="L15" s="115" t="n"/>
      <c r="M15" s="115" t="n"/>
    </row>
    <row r="16" ht="15.75" customHeight="1">
      <c r="A16" s="20" t="n">
        <v>14</v>
      </c>
      <c r="B16" s="20" t="inlineStr">
        <is>
          <t>GPO469</t>
        </is>
      </c>
      <c r="C16" s="21" t="inlineStr">
        <is>
          <t>GDC</t>
        </is>
      </c>
      <c r="D16" s="21" t="inlineStr">
        <is>
          <t>워런티(EW)</t>
        </is>
      </c>
      <c r="E16" s="76" t="n">
        <v>3993.05</v>
      </c>
      <c r="F16" s="20" t="inlineStr">
        <is>
          <t>SR/SX EW (하남미사 외)</t>
        </is>
      </c>
      <c r="G16" s="184" t="n">
        <v>46060</v>
      </c>
      <c r="H16" s="184" t="n">
        <v>46113</v>
      </c>
      <c r="I16" s="184" t="n">
        <v>46023</v>
      </c>
      <c r="J16" s="190" t="n">
        <v>46440</v>
      </c>
      <c r="K16" s="20" t="inlineStr">
        <is>
          <t>라이센스</t>
        </is>
      </c>
      <c r="L16" s="115" t="n"/>
      <c r="M16" s="115" t="n"/>
    </row>
    <row r="17" ht="15.75" customHeight="1">
      <c r="A17" s="20" t="n">
        <v>15</v>
      </c>
      <c r="B17" s="20" t="inlineStr">
        <is>
          <t>GPO470</t>
        </is>
      </c>
      <c r="C17" s="21" t="inlineStr">
        <is>
          <t>GDC</t>
        </is>
      </c>
      <c r="D17" s="21" t="inlineStr">
        <is>
          <t>라이센스</t>
        </is>
      </c>
      <c r="E17" s="76" t="n">
        <v>360</v>
      </c>
      <c r="F17" s="20" t="inlineStr">
        <is>
          <t>TMS-1000 License</t>
        </is>
      </c>
      <c r="G17" s="184" t="n">
        <v>46080</v>
      </c>
      <c r="H17" s="184" t="n">
        <v>46113</v>
      </c>
      <c r="I17" s="184" t="n">
        <v>46082</v>
      </c>
      <c r="J17" s="190" t="n">
        <v>46446</v>
      </c>
      <c r="K17" s="20" t="inlineStr">
        <is>
          <t>라이센스</t>
        </is>
      </c>
      <c r="L17" s="115" t="n"/>
      <c r="M17" s="115" t="n"/>
    </row>
    <row r="18" ht="15.75" customHeight="1">
      <c r="A18" s="77" t="n">
        <v>16</v>
      </c>
      <c r="B18" s="77" t="inlineStr">
        <is>
          <t>GPO471</t>
        </is>
      </c>
      <c r="C18" s="101" t="inlineStr">
        <is>
          <t>GDC</t>
        </is>
      </c>
      <c r="D18" s="101" t="inlineStr">
        <is>
          <t>라이센스</t>
        </is>
      </c>
      <c r="E18" s="102" t="n">
        <v>500</v>
      </c>
      <c r="F18" s="77" t="inlineStr">
        <is>
          <t>Dolby Atmos License</t>
        </is>
      </c>
      <c r="G18" s="190" t="n">
        <v>46088</v>
      </c>
      <c r="H18" s="190" t="n">
        <v>46113</v>
      </c>
      <c r="I18" s="77" t="inlineStr">
        <is>
          <t>미확인</t>
        </is>
      </c>
      <c r="J18" s="77" t="inlineStr">
        <is>
          <t>미확인</t>
        </is>
      </c>
      <c r="K18" s="77" t="inlineStr">
        <is>
          <t>라이센스</t>
        </is>
      </c>
      <c r="L18" s="115" t="n"/>
      <c r="M18" s="115" t="n"/>
    </row>
    <row r="19" ht="15.75" customHeight="1">
      <c r="A19" s="20" t="n">
        <v>17</v>
      </c>
      <c r="B19" s="20" t="inlineStr">
        <is>
          <t>CPO694</t>
        </is>
      </c>
      <c r="C19" s="21" t="inlineStr">
        <is>
          <t>Christie</t>
        </is>
      </c>
      <c r="D19" s="21" t="inlineStr">
        <is>
          <t>워런티(EW)</t>
        </is>
      </c>
      <c r="E19" s="76" t="n">
        <v>17404</v>
      </c>
      <c r="F19" s="20" t="inlineStr">
        <is>
          <t>EW (CGV 동백 외 Warranty Extension)</t>
        </is>
      </c>
      <c r="G19" s="184" t="n">
        <v>46109</v>
      </c>
      <c r="H19" s="184" t="n">
        <v>46146</v>
      </c>
      <c r="I19" s="184" t="n">
        <v>46113</v>
      </c>
      <c r="J19" s="190" t="n">
        <v>46477</v>
      </c>
      <c r="K19" s="20" t="inlineStr">
        <is>
          <t>라이센스</t>
        </is>
      </c>
      <c r="L19" s="115" t="n"/>
      <c r="M19" s="115" t="n"/>
    </row>
    <row r="20" ht="15.75" customHeight="1">
      <c r="A20" s="103" t="n">
        <v>18</v>
      </c>
      <c r="B20" s="103" t="inlineStr">
        <is>
          <t>CPO697</t>
        </is>
      </c>
      <c r="C20" s="104" t="inlineStr">
        <is>
          <t>Christie</t>
        </is>
      </c>
      <c r="D20" s="104" t="inlineStr">
        <is>
          <t>워런티(EW)</t>
        </is>
      </c>
      <c r="E20" s="105" t="n">
        <v>15289</v>
      </c>
      <c r="F20" s="103" t="inlineStr">
        <is>
          <t>EW CP4425/CP2308/CP2315/CP2309/CP2320 13대</t>
        </is>
      </c>
      <c r="G20" s="191" t="n">
        <v>46136</v>
      </c>
      <c r="H20" s="191" t="n">
        <v>46171</v>
      </c>
      <c r="I20" s="191" t="n">
        <v>46168</v>
      </c>
      <c r="J20" s="191" t="n">
        <v>46532</v>
      </c>
      <c r="K20" s="103" t="inlineStr">
        <is>
          <t>라이센스</t>
        </is>
      </c>
      <c r="L20" s="115" t="n"/>
      <c r="M20" s="115" t="n"/>
    </row>
    <row r="21" ht="15.75" customHeight="1">
      <c r="A21" s="103" t="n">
        <v>19</v>
      </c>
      <c r="B21" s="103" t="inlineStr">
        <is>
          <t>CPO693-2</t>
        </is>
      </c>
      <c r="C21" s="104" t="inlineStr">
        <is>
          <t>Christie</t>
        </is>
      </c>
      <c r="D21" s="104" t="inlineStr">
        <is>
          <t>워런티(EW)</t>
        </is>
      </c>
      <c r="E21" s="105" t="n">
        <v>2550</v>
      </c>
      <c r="F21" s="103" t="inlineStr">
        <is>
          <t>CP4420-RGB 2년 워런티 (CGV 구미)</t>
        </is>
      </c>
      <c r="G21" s="191" t="n">
        <v>46133</v>
      </c>
      <c r="H21" s="191" t="inlineStr">
        <is>
          <t>-</t>
        </is>
      </c>
      <c r="I21" s="191" t="n">
        <v>46142</v>
      </c>
      <c r="J21" s="191" t="n">
        <v>46872</v>
      </c>
      <c r="K21" s="103" t="inlineStr">
        <is>
          <t>라이센스</t>
        </is>
      </c>
      <c r="L21" s="115" t="n"/>
      <c r="M21" s="115" t="n"/>
    </row>
    <row r="22">
      <c r="A22" s="224" t="n">
        <v>20</v>
      </c>
      <c r="B22" s="224" t="inlineStr">
        <is>
          <t>GPO478</t>
        </is>
      </c>
      <c r="C22" s="225" t="inlineStr">
        <is>
          <t>GDC</t>
        </is>
      </c>
      <c r="D22" s="225" t="inlineStr">
        <is>
          <t>라이센스</t>
        </is>
      </c>
      <c r="E22" s="226" t="n">
        <v>180</v>
      </c>
      <c r="F22" s="224" t="inlineStr">
        <is>
          <t>TMS-1000 License (NOWON THE FOREST 2 screens)</t>
        </is>
      </c>
      <c r="G22" s="227" t="n">
        <v>46127</v>
      </c>
      <c r="H22" s="227" t="n">
        <v>46161</v>
      </c>
      <c r="I22" s="227" t="n">
        <v>46143</v>
      </c>
      <c r="J22" s="227" t="n">
        <v>46507</v>
      </c>
      <c r="K22" s="224" t="inlineStr">
        <is>
          <t>라이센스</t>
        </is>
      </c>
      <c r="L22" s="228" t="n"/>
      <c r="M22" s="228" t="n"/>
    </row>
    <row r="23">
      <c r="A23" s="224" t="n">
        <v>21</v>
      </c>
      <c r="B23" s="224" t="inlineStr">
        <is>
          <t>GPO480</t>
        </is>
      </c>
      <c r="C23" s="225" t="inlineStr">
        <is>
          <t>GDC</t>
        </is>
      </c>
      <c r="D23" s="225" t="inlineStr">
        <is>
          <t>라이센스</t>
        </is>
      </c>
      <c r="E23" s="226" t="n">
        <v>250</v>
      </c>
      <c r="F23" s="224" t="inlineStr">
        <is>
          <t>GDC SX-3000 PEM Cert Extension (Megabox Hwamyeong, 10y)</t>
        </is>
      </c>
      <c r="G23" s="227" t="n">
        <v>46137</v>
      </c>
      <c r="H23" s="227" t="n">
        <v>46171</v>
      </c>
      <c r="I23" s="227" t="n">
        <v>46143</v>
      </c>
      <c r="J23" s="227" t="n">
        <v>49795</v>
      </c>
      <c r="K23" s="224" t="inlineStr">
        <is>
          <t>라이센스</t>
        </is>
      </c>
      <c r="L23" s="228" t="n"/>
      <c r="M23" s="228" t="n"/>
    </row>
    <row r="24">
      <c r="A24" s="224" t="n">
        <v>22</v>
      </c>
      <c r="B24" s="224" t="inlineStr">
        <is>
          <t>GPO481</t>
        </is>
      </c>
      <c r="C24" s="225" t="inlineStr">
        <is>
          <t>GDC</t>
        </is>
      </c>
      <c r="D24" s="225" t="inlineStr">
        <is>
          <t>라이센스</t>
        </is>
      </c>
      <c r="E24" s="226" t="n">
        <v>500</v>
      </c>
      <c r="F24" s="224" t="inlineStr">
        <is>
          <t>Dolby Atmos Playback License (Megabox Mangyeong)</t>
        </is>
      </c>
      <c r="G24" s="227" t="n">
        <v>46152</v>
      </c>
      <c r="H24" s="227" t="n">
        <v>46183</v>
      </c>
      <c r="I24" s="227" t="inlineStr">
        <is>
          <t>미확인</t>
        </is>
      </c>
      <c r="J24" s="227" t="inlineStr">
        <is>
          <t>미확인</t>
        </is>
      </c>
      <c r="K24" s="224" t="inlineStr">
        <is>
          <t>라이센스</t>
        </is>
      </c>
      <c r="L24" s="228" t="n"/>
      <c r="M24" s="228" t="n"/>
    </row>
    <row r="25">
      <c r="A25" s="224" t="n">
        <v>23</v>
      </c>
      <c r="B25" s="224" t="inlineStr">
        <is>
          <t>GPO475</t>
        </is>
      </c>
      <c r="C25" s="225" t="inlineStr">
        <is>
          <t>GDC</t>
        </is>
      </c>
      <c r="D25" s="225" t="inlineStr">
        <is>
          <t>라이센스</t>
        </is>
      </c>
      <c r="E25" s="226" t="n">
        <v>540</v>
      </c>
      <c r="F25" s="224" t="inlineStr">
        <is>
          <t>TMS-1000 License 6 screens (CGV 안동)</t>
        </is>
      </c>
      <c r="G25" s="227" t="n">
        <v>46127</v>
      </c>
      <c r="H25" s="227" t="n">
        <v>46190</v>
      </c>
      <c r="I25" s="227" t="n">
        <v>46143</v>
      </c>
      <c r="J25" s="227" t="n">
        <v>46507</v>
      </c>
      <c r="K25" s="224" t="inlineStr">
        <is>
          <t>라이센스</t>
        </is>
      </c>
      <c r="L25" s="228" t="n"/>
    </row>
    <row r="26">
      <c r="A26" s="224" t="n">
        <v>24</v>
      </c>
      <c r="B26" s="224" t="inlineStr">
        <is>
          <t>CPO702</t>
        </is>
      </c>
      <c r="C26" s="225" t="inlineStr">
        <is>
          <t>Christie</t>
        </is>
      </c>
      <c r="D26" s="225" t="inlineStr">
        <is>
          <t>워런티(EW)</t>
        </is>
      </c>
      <c r="E26" s="226" t="n">
        <v>32715</v>
      </c>
      <c r="F26" s="224" t="inlineStr">
        <is>
          <t>EW CP2215/CP2309-RGB 24대 (롯데 영천 외 8개소)</t>
        </is>
      </c>
      <c r="G26" s="227" t="n">
        <v>46181</v>
      </c>
      <c r="H26" s="227" t="inlineStr">
        <is>
          <t>-</t>
        </is>
      </c>
      <c r="I26" s="227" t="n">
        <v>46192</v>
      </c>
      <c r="J26" s="227" t="n">
        <v>46752</v>
      </c>
      <c r="K26" s="224" t="inlineStr">
        <is>
          <t>라이센스</t>
        </is>
      </c>
      <c r="L26" s="228" t="n"/>
      <c r="M26" s="160" t="n"/>
    </row>
    <row r="27">
      <c r="A27" s="224" t="n">
        <v>25</v>
      </c>
      <c r="B27" s="224" t="inlineStr">
        <is>
          <t>GPO486</t>
        </is>
      </c>
      <c r="C27" s="225" t="inlineStr">
        <is>
          <t>GDC</t>
        </is>
      </c>
      <c r="D27" s="225" t="inlineStr">
        <is>
          <t>라이센스</t>
        </is>
      </c>
      <c r="E27" s="226" t="n">
        <v>450</v>
      </c>
      <c r="F27" s="224" t="inlineStr">
        <is>
          <t>TMS-1000 License Ext 5screens (메가박스 경산 하양)</t>
        </is>
      </c>
      <c r="G27" s="227" t="n">
        <v>46182</v>
      </c>
      <c r="H27" s="227" t="inlineStr">
        <is>
          <t>-</t>
        </is>
      </c>
      <c r="I27" s="227" t="n">
        <v>46204</v>
      </c>
      <c r="J27" s="227" t="n">
        <v>46568</v>
      </c>
      <c r="K27" s="224" t="inlineStr">
        <is>
          <t>라이센스</t>
        </is>
      </c>
      <c r="L27" s="228" t="n"/>
      <c r="M27" s="160" t="n"/>
    </row>
    <row r="28">
      <c r="A28" s="224" t="n">
        <v>26</v>
      </c>
      <c r="B28" s="224" t="inlineStr">
        <is>
          <t>GPO484</t>
        </is>
      </c>
      <c r="C28" s="225" t="inlineStr">
        <is>
          <t>GDC</t>
        </is>
      </c>
      <c r="D28" s="225" t="inlineStr">
        <is>
          <t>워런티(EW)</t>
        </is>
      </c>
      <c r="E28" s="226" t="n">
        <v>7407.81</v>
      </c>
      <c r="F28" s="224" t="inlineStr">
        <is>
          <t>SR-1000/SX-4000 Warranty Ext 11대 (CGV 진주혁신 외)</t>
        </is>
      </c>
      <c r="G28" s="227" t="n">
        <v>46183</v>
      </c>
      <c r="H28" s="227" t="inlineStr">
        <is>
          <t>-</t>
        </is>
      </c>
      <c r="I28" s="227" t="n">
        <v>46156</v>
      </c>
      <c r="J28" s="227" t="n">
        <v>46752</v>
      </c>
      <c r="K28" s="224" t="inlineStr">
        <is>
          <t>라이센스</t>
        </is>
      </c>
      <c r="L28" s="228" t="n"/>
      <c r="M28" s="160" t="n"/>
    </row>
    <row r="29">
      <c r="A29" s="224" t="n">
        <v>27</v>
      </c>
      <c r="B29" s="224" t="inlineStr">
        <is>
          <t>GPO489</t>
        </is>
      </c>
      <c r="C29" s="225" t="inlineStr">
        <is>
          <t>GDC</t>
        </is>
      </c>
      <c r="D29" s="225" t="inlineStr">
        <is>
          <t>라이센스</t>
        </is>
      </c>
      <c r="E29" s="226" t="n">
        <v>3320</v>
      </c>
      <c r="F29" s="224" t="inlineStr">
        <is>
          <t>TMS License 7사이트 32screens (메가박스 삼천포 외)</t>
        </is>
      </c>
      <c r="G29" s="227" t="n">
        <v>46196</v>
      </c>
      <c r="H29" s="227" t="inlineStr">
        <is>
          <t>-</t>
        </is>
      </c>
      <c r="I29" s="227" t="n">
        <v>46204</v>
      </c>
      <c r="J29" s="227" t="n">
        <v>46568</v>
      </c>
      <c r="K29" s="224" t="inlineStr">
        <is>
          <t>라이센스</t>
        </is>
      </c>
      <c r="L29" s="228" t="n"/>
      <c r="M29" s="160" t="n"/>
    </row>
    <row r="70">
      <c r="M70" s="40" t="n"/>
    </row>
  </sheetData>
  <mergeCells count="1">
    <mergeCell ref="A1:K1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71"/>
  <sheetViews>
    <sheetView showGridLines="0" zoomScaleNormal="100" workbookViewId="0">
      <selection activeCell="E5" sqref="E5"/>
    </sheetView>
  </sheetViews>
  <sheetFormatPr baseColWidth="10" defaultColWidth="8.6640625" defaultRowHeight="17"/>
  <cols>
    <col width="22" customWidth="1" style="160" min="1" max="1"/>
    <col width="12" customWidth="1" style="160" min="2" max="2"/>
    <col width="14" customWidth="1" style="160" min="3" max="3"/>
    <col width="8" customWidth="1" style="160" min="4" max="4"/>
    <col width="12.33203125" customWidth="1" style="73" min="5" max="5"/>
    <col width="14" customWidth="1" style="160" min="6" max="6"/>
    <col width="10.1640625" customWidth="1" style="73" min="7" max="7"/>
    <col width="14" customWidth="1" style="160" min="8" max="8"/>
    <col width="10.1640625" customWidth="1" style="73" min="9" max="9"/>
    <col width="20" customWidth="1" style="73" min="10" max="10"/>
    <col width="8.6640625" customWidth="1" style="160" min="11" max="15"/>
    <col width="8.6640625" customWidth="1" style="160" min="16" max="16384"/>
  </cols>
  <sheetData>
    <row r="1" ht="24" customHeight="1">
      <c r="A1" s="169" t="inlineStr">
        <is>
          <t>합배송 비용안분 상세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9" t="n"/>
      <c r="K1" s="113" t="n"/>
      <c r="L1" s="113" t="n"/>
      <c r="M1" s="113" t="n"/>
    </row>
    <row r="2" ht="15.75" customHeight="1">
      <c r="A2" s="192" t="inlineStr">
        <is>
          <t>수입신고번호별 PO 그룹핑 및 비용 배분  |  오렌지 = 합배송  |  녹색 = 단독</t>
        </is>
      </c>
      <c r="B2" s="148" t="n"/>
      <c r="C2" s="148" t="n"/>
      <c r="D2" s="148" t="n"/>
      <c r="E2" s="148" t="n"/>
      <c r="F2" s="148" t="n"/>
      <c r="G2" s="148" t="n"/>
      <c r="H2" s="148" t="n"/>
      <c r="I2" s="148" t="n"/>
      <c r="J2" s="149" t="n"/>
      <c r="K2" s="114" t="n"/>
      <c r="L2" s="114" t="n"/>
      <c r="M2" s="114" t="n"/>
    </row>
    <row r="3" ht="28" customHeight="1">
      <c r="A3" s="150" t="inlineStr">
        <is>
          <t>수입신고번호</t>
        </is>
      </c>
      <c r="B3" s="150" t="inlineStr">
        <is>
          <t>PO No.</t>
        </is>
      </c>
      <c r="C3" s="150" t="inlineStr">
        <is>
          <t>Invoice(USD)</t>
        </is>
      </c>
      <c r="D3" s="150" t="inlineStr">
        <is>
          <t>비율(%)</t>
        </is>
      </c>
      <c r="E3" s="150" t="inlineStr">
        <is>
          <t>관세사</t>
        </is>
      </c>
      <c r="F3" s="150" t="inlineStr">
        <is>
          <t>관세사비(배분)</t>
        </is>
      </c>
      <c r="G3" s="150" t="inlineStr">
        <is>
          <t>운송사</t>
        </is>
      </c>
      <c r="H3" s="150" t="inlineStr">
        <is>
          <t>운송료(배분)</t>
        </is>
      </c>
      <c r="I3" s="150" t="inlineStr">
        <is>
          <t>합배송여부</t>
        </is>
      </c>
      <c r="J3" s="150" t="inlineStr">
        <is>
          <t>비고</t>
        </is>
      </c>
      <c r="K3" s="115" t="n"/>
      <c r="L3" s="115" t="n"/>
      <c r="M3" s="115" t="n"/>
    </row>
    <row r="4" ht="15.75" customHeight="1">
      <c r="A4" s="28" t="inlineStr">
        <is>
          <t>2317625939353M</t>
        </is>
      </c>
      <c r="B4" s="28" t="inlineStr">
        <is>
          <t>GPO451</t>
        </is>
      </c>
      <c r="C4" s="41" t="n">
        <v>9060</v>
      </c>
      <c r="D4" s="193">
        <f>C4/C4</f>
        <v/>
      </c>
      <c r="E4" s="28" t="inlineStr">
        <is>
          <t>아인관세사</t>
        </is>
      </c>
      <c r="F4" s="10" t="n">
        <v>0</v>
      </c>
      <c r="G4" s="28" t="inlineStr">
        <is>
          <t>Fedex</t>
        </is>
      </c>
      <c r="H4" s="10" t="n">
        <v>0</v>
      </c>
      <c r="I4" s="28" t="inlineStr">
        <is>
          <t>단독</t>
        </is>
      </c>
      <c r="J4" s="28" t="n"/>
      <c r="K4" s="115" t="n"/>
      <c r="L4" s="115" t="n"/>
      <c r="M4" s="115" t="n"/>
    </row>
    <row r="5" ht="15.75" customHeight="1">
      <c r="A5" s="28" t="inlineStr">
        <is>
          <t>1421425100697M</t>
        </is>
      </c>
      <c r="B5" s="28" t="inlineStr">
        <is>
          <t>CPO679</t>
        </is>
      </c>
      <c r="C5" s="41" t="n">
        <v>4474</v>
      </c>
      <c r="D5" s="193">
        <f>C5/C5</f>
        <v/>
      </c>
      <c r="E5" s="28" t="inlineStr">
        <is>
          <t>아인관세사</t>
        </is>
      </c>
      <c r="F5" s="10" t="n">
        <v>36000</v>
      </c>
      <c r="G5" s="28" t="inlineStr">
        <is>
          <t>진로직스</t>
        </is>
      </c>
      <c r="H5" s="10" t="n">
        <v>590823</v>
      </c>
      <c r="I5" s="28" t="inlineStr">
        <is>
          <t>단독</t>
        </is>
      </c>
      <c r="J5" s="28" t="n"/>
      <c r="K5" s="115" t="n"/>
      <c r="L5" s="115" t="n"/>
      <c r="M5" s="115" t="n"/>
    </row>
    <row r="6" ht="15.75" customHeight="1">
      <c r="A6" s="30" t="inlineStr">
        <is>
          <t>1219925801471M</t>
        </is>
      </c>
      <c r="B6" s="30" t="inlineStr">
        <is>
          <t>CPO678-1</t>
        </is>
      </c>
      <c r="C6" s="42" t="n">
        <v>139083</v>
      </c>
      <c r="D6" s="194">
        <f>C6/(C6+C7)</f>
        <v/>
      </c>
      <c r="E6" s="30" t="inlineStr">
        <is>
          <t>다민관세사</t>
        </is>
      </c>
      <c r="F6" s="32">
        <f>ROUND(149999*D6,0)</f>
        <v/>
      </c>
      <c r="G6" s="30" t="inlineStr">
        <is>
          <t>진로직스</t>
        </is>
      </c>
      <c r="H6" s="32">
        <f>ROUND(2475146*D6,0)</f>
        <v/>
      </c>
      <c r="I6" s="30" t="inlineStr">
        <is>
          <t>합배송</t>
        </is>
      </c>
      <c r="J6" s="30" t="inlineStr">
        <is>
          <t>2건 합산</t>
        </is>
      </c>
      <c r="K6" s="115" t="n"/>
      <c r="L6" s="115" t="n"/>
      <c r="M6" s="115" t="n"/>
    </row>
    <row r="7" ht="15.75" customHeight="1">
      <c r="A7" s="30" t="n"/>
      <c r="B7" s="30" t="inlineStr">
        <is>
          <t>CPO680</t>
        </is>
      </c>
      <c r="C7" s="42" t="n">
        <v>252</v>
      </c>
      <c r="D7" s="194">
        <f>C7/(C6+C7)</f>
        <v/>
      </c>
      <c r="E7" s="30" t="inlineStr">
        <is>
          <t>다민관세사</t>
        </is>
      </c>
      <c r="F7" s="32">
        <f>149999-F6</f>
        <v/>
      </c>
      <c r="G7" s="30" t="inlineStr">
        <is>
          <t>진로직스</t>
        </is>
      </c>
      <c r="H7" s="32">
        <f>2475146-H6</f>
        <v/>
      </c>
      <c r="I7" s="30" t="inlineStr">
        <is>
          <t>합배송</t>
        </is>
      </c>
      <c r="J7" s="30" t="n"/>
      <c r="K7" s="115" t="n"/>
      <c r="L7" s="115" t="n"/>
      <c r="M7" s="115" t="n"/>
    </row>
    <row r="8" ht="15.75" customHeight="1">
      <c r="A8" s="28" t="inlineStr">
        <is>
          <t>1400826101004M</t>
        </is>
      </c>
      <c r="B8" s="28" t="inlineStr">
        <is>
          <t>CPO678-2</t>
        </is>
      </c>
      <c r="C8" s="41" t="n">
        <v>137850</v>
      </c>
      <c r="D8" s="193">
        <f>C8/C8</f>
        <v/>
      </c>
      <c r="E8" s="28" t="inlineStr">
        <is>
          <t>조운관세사</t>
        </is>
      </c>
      <c r="F8" s="10" t="n">
        <v>263400</v>
      </c>
      <c r="G8" s="28" t="inlineStr">
        <is>
          <t>진로직스</t>
        </is>
      </c>
      <c r="H8" s="10" t="n">
        <v>2385057</v>
      </c>
      <c r="I8" s="28" t="inlineStr">
        <is>
          <t>단독</t>
        </is>
      </c>
      <c r="J8" s="28" t="n"/>
      <c r="K8" s="115" t="n"/>
      <c r="L8" s="115" t="n"/>
      <c r="M8" s="115" t="n"/>
    </row>
    <row r="9" ht="15.75" customHeight="1">
      <c r="A9" s="30" t="inlineStr">
        <is>
          <t>1400825101450M</t>
        </is>
      </c>
      <c r="B9" s="30" t="inlineStr">
        <is>
          <t>CPO682</t>
        </is>
      </c>
      <c r="C9" s="42" t="n">
        <v>20174</v>
      </c>
      <c r="D9" s="194">
        <f>C9/(C9+C10)</f>
        <v/>
      </c>
      <c r="E9" s="30" t="inlineStr">
        <is>
          <t>아인관세사</t>
        </is>
      </c>
      <c r="F9" s="32">
        <f>ROUND(107399*D9,0)</f>
        <v/>
      </c>
      <c r="G9" s="30" t="inlineStr">
        <is>
          <t>진로직스</t>
        </is>
      </c>
      <c r="H9" s="32">
        <f>ROUND(2291051*D9,0)</f>
        <v/>
      </c>
      <c r="I9" s="30" t="inlineStr">
        <is>
          <t>합배송</t>
        </is>
      </c>
      <c r="J9" s="30" t="inlineStr">
        <is>
          <t>2건 합산</t>
        </is>
      </c>
      <c r="K9" s="115" t="n"/>
      <c r="L9" s="115" t="n"/>
      <c r="M9" s="115" t="n"/>
    </row>
    <row r="10" ht="15.75" customHeight="1">
      <c r="A10" s="30" t="n"/>
      <c r="B10" s="30" t="inlineStr">
        <is>
          <t>CPO683</t>
        </is>
      </c>
      <c r="C10" s="42" t="n">
        <v>4620</v>
      </c>
      <c r="D10" s="194">
        <f>C10/(C9+C10)</f>
        <v/>
      </c>
      <c r="E10" s="30" t="inlineStr">
        <is>
          <t>아인관세사</t>
        </is>
      </c>
      <c r="F10" s="32">
        <f>107399-F9</f>
        <v/>
      </c>
      <c r="G10" s="30" t="inlineStr">
        <is>
          <t>진로직스</t>
        </is>
      </c>
      <c r="H10" s="32">
        <f>2291051-H9</f>
        <v/>
      </c>
      <c r="I10" s="30" t="inlineStr">
        <is>
          <t>합배송</t>
        </is>
      </c>
      <c r="J10" s="30" t="n"/>
      <c r="K10" s="115" t="n"/>
      <c r="L10" s="115" t="n"/>
      <c r="M10" s="115" t="n"/>
    </row>
    <row r="11" ht="15.75" customHeight="1">
      <c r="A11" s="30" t="inlineStr">
        <is>
          <t>1421426100153M</t>
        </is>
      </c>
      <c r="B11" s="30" t="inlineStr">
        <is>
          <t>MPO66</t>
        </is>
      </c>
      <c r="C11" s="42" t="n">
        <v>9626.35</v>
      </c>
      <c r="D11" s="194">
        <f>C11/(C11+C12)</f>
        <v/>
      </c>
      <c r="E11" s="30" t="inlineStr">
        <is>
          <t>아인관세사</t>
        </is>
      </c>
      <c r="F11" s="32">
        <f>ROUND(141580*D11,0)</f>
        <v/>
      </c>
      <c r="G11" s="30" t="inlineStr">
        <is>
          <t>진로직스</t>
        </is>
      </c>
      <c r="H11" s="32">
        <f>ROUND(4070383*D11,0)</f>
        <v/>
      </c>
      <c r="I11" s="30" t="inlineStr">
        <is>
          <t>합배송</t>
        </is>
      </c>
      <c r="J11" s="30" t="inlineStr">
        <is>
          <t>2건 합산</t>
        </is>
      </c>
      <c r="K11" s="115" t="n"/>
      <c r="L11" s="115" t="n"/>
      <c r="M11" s="115" t="n"/>
    </row>
    <row r="12" ht="15.75" customHeight="1">
      <c r="A12" s="30" t="n"/>
      <c r="B12" s="30" t="inlineStr">
        <is>
          <t>MPO65</t>
        </is>
      </c>
      <c r="C12" s="42" t="n">
        <v>4936</v>
      </c>
      <c r="D12" s="194">
        <f>C12/(C11+C12)</f>
        <v/>
      </c>
      <c r="E12" s="30" t="inlineStr">
        <is>
          <t>아인관세사</t>
        </is>
      </c>
      <c r="F12" s="32">
        <f>141580-F11</f>
        <v/>
      </c>
      <c r="G12" s="30" t="inlineStr">
        <is>
          <t>진로직스</t>
        </is>
      </c>
      <c r="H12" s="32">
        <f>4070383-H11</f>
        <v/>
      </c>
      <c r="I12" s="30" t="inlineStr">
        <is>
          <t>합배송</t>
        </is>
      </c>
      <c r="J12" s="30" t="n"/>
      <c r="K12" s="115" t="n"/>
      <c r="L12" s="115" t="n"/>
      <c r="M12" s="115" t="n"/>
    </row>
    <row r="13" ht="15.75" customHeight="1">
      <c r="A13" s="28" t="inlineStr">
        <is>
          <t>2317626105219M</t>
        </is>
      </c>
      <c r="B13" s="28" t="inlineStr">
        <is>
          <t>GPO467</t>
        </is>
      </c>
      <c r="C13" s="41" t="n">
        <v>1700</v>
      </c>
      <c r="D13" s="193">
        <f>C13/C13</f>
        <v/>
      </c>
      <c r="E13" s="28" t="n">
        <v>0</v>
      </c>
      <c r="F13" s="10" t="n">
        <v>0</v>
      </c>
      <c r="G13" s="28" t="inlineStr">
        <is>
          <t>Fedex</t>
        </is>
      </c>
      <c r="H13" s="10" t="n">
        <v>136050</v>
      </c>
      <c r="I13" s="28" t="inlineStr">
        <is>
          <t>단독</t>
        </is>
      </c>
      <c r="J13" s="28" t="n"/>
      <c r="K13" s="115" t="n"/>
      <c r="L13" s="115" t="n"/>
      <c r="M13" s="115" t="n"/>
    </row>
    <row r="14" ht="15.75" customHeight="1">
      <c r="A14" s="30" t="inlineStr">
        <is>
          <t>1400826101085M</t>
        </is>
      </c>
      <c r="B14" s="30" t="inlineStr">
        <is>
          <t>GPO472</t>
        </is>
      </c>
      <c r="C14" s="42" t="n">
        <v>180</v>
      </c>
      <c r="D14" s="194">
        <f>C14/(C14+C15)</f>
        <v/>
      </c>
      <c r="E14" s="30" t="inlineStr">
        <is>
          <t>조운관세사</t>
        </is>
      </c>
      <c r="F14" s="32">
        <f>ROUND(138399*D14,0)</f>
        <v/>
      </c>
      <c r="G14" s="30" t="inlineStr">
        <is>
          <t>진로직스</t>
        </is>
      </c>
      <c r="H14" s="32">
        <f>ROUND(1238260*D14,0)</f>
        <v/>
      </c>
      <c r="I14" s="30" t="inlineStr">
        <is>
          <t>합배송</t>
        </is>
      </c>
      <c r="J14" s="30" t="inlineStr">
        <is>
          <t>2건 합산</t>
        </is>
      </c>
      <c r="K14" s="115" t="n"/>
      <c r="L14" s="115" t="n"/>
      <c r="M14" s="115" t="n"/>
    </row>
    <row r="15" ht="15.75" customHeight="1">
      <c r="A15" s="30" t="n"/>
      <c r="B15" s="30" t="inlineStr">
        <is>
          <t>GPO468-1</t>
        </is>
      </c>
      <c r="C15" s="42" t="n">
        <v>36190</v>
      </c>
      <c r="D15" s="194">
        <f>C15/(C14+C15)</f>
        <v/>
      </c>
      <c r="E15" s="30" t="inlineStr">
        <is>
          <t>조운관세사</t>
        </is>
      </c>
      <c r="F15" s="32">
        <f>138399-F14</f>
        <v/>
      </c>
      <c r="G15" s="30" t="inlineStr">
        <is>
          <t>진로직스</t>
        </is>
      </c>
      <c r="H15" s="32">
        <f>1238260-H14</f>
        <v/>
      </c>
      <c r="I15" s="30" t="inlineStr">
        <is>
          <t>합배송</t>
        </is>
      </c>
      <c r="J15" s="30" t="n"/>
      <c r="K15" s="115" t="n"/>
      <c r="L15" s="115" t="n"/>
      <c r="M15" s="115" t="n"/>
    </row>
    <row r="16" ht="15.75" customHeight="1">
      <c r="A16" s="28" t="inlineStr">
        <is>
          <t>2317626006259M</t>
        </is>
      </c>
      <c r="B16" s="28" t="inlineStr">
        <is>
          <t>GPO460</t>
        </is>
      </c>
      <c r="C16" s="41" t="n">
        <v>2710</v>
      </c>
      <c r="D16" s="193">
        <f>C16/C16</f>
        <v/>
      </c>
      <c r="E16" s="28" t="n">
        <v>0</v>
      </c>
      <c r="F16" s="10" t="n">
        <v>0</v>
      </c>
      <c r="G16" s="28" t="inlineStr">
        <is>
          <t>Fedex</t>
        </is>
      </c>
      <c r="H16" s="10" t="n">
        <v>0</v>
      </c>
      <c r="I16" s="28" t="inlineStr">
        <is>
          <t>단독</t>
        </is>
      </c>
      <c r="J16" s="28" t="n"/>
      <c r="K16" s="115" t="n"/>
      <c r="L16" s="115" t="n"/>
      <c r="M16" s="115" t="n"/>
    </row>
    <row r="17" ht="15.75" customHeight="1">
      <c r="A17" s="28" t="inlineStr">
        <is>
          <t>2317626055855M</t>
        </is>
      </c>
      <c r="B17" s="28" t="inlineStr">
        <is>
          <t>CPO689</t>
        </is>
      </c>
      <c r="C17" s="41" t="n">
        <v>2745</v>
      </c>
      <c r="D17" s="193">
        <f>C17/C17</f>
        <v/>
      </c>
      <c r="E17" s="28" t="n">
        <v>0</v>
      </c>
      <c r="F17" s="10" t="n">
        <v>0</v>
      </c>
      <c r="G17" s="28" t="inlineStr">
        <is>
          <t>Fedex</t>
        </is>
      </c>
      <c r="H17" s="10" t="n">
        <v>162080</v>
      </c>
      <c r="I17" s="28" t="inlineStr">
        <is>
          <t>단독</t>
        </is>
      </c>
      <c r="J17" s="28" t="n"/>
      <c r="K17" s="115" t="n"/>
      <c r="L17" s="115" t="n"/>
      <c r="M17" s="115" t="n"/>
    </row>
    <row r="18" ht="15.75" customHeight="1">
      <c r="A18" s="28" t="inlineStr">
        <is>
          <t>2235626096487M</t>
        </is>
      </c>
      <c r="B18" s="28" t="inlineStr">
        <is>
          <t>CPO690</t>
        </is>
      </c>
      <c r="C18" s="41" t="n">
        <v>9740</v>
      </c>
      <c r="D18" s="193">
        <f>C18/C18</f>
        <v/>
      </c>
      <c r="E18" s="28" t="n">
        <v>0</v>
      </c>
      <c r="F18" s="10" t="n">
        <v>0</v>
      </c>
      <c r="G18" s="28" t="inlineStr">
        <is>
          <t>DHL</t>
        </is>
      </c>
      <c r="H18" s="10" t="n">
        <v>1561040</v>
      </c>
      <c r="I18" s="28" t="inlineStr">
        <is>
          <t>단독</t>
        </is>
      </c>
      <c r="J18" s="28" t="n"/>
      <c r="K18" s="115" t="n"/>
      <c r="L18" s="115" t="n"/>
      <c r="M18" s="115" t="n"/>
    </row>
    <row r="19" ht="15.75" customHeight="1">
      <c r="A19" s="28" t="inlineStr">
        <is>
          <t>1421426100183M</t>
        </is>
      </c>
      <c r="B19" s="28" t="inlineStr">
        <is>
          <t>LPO001</t>
        </is>
      </c>
      <c r="C19" s="41" t="n">
        <v>5056.8</v>
      </c>
      <c r="D19" s="193">
        <f>C19/C19</f>
        <v/>
      </c>
      <c r="E19" s="28" t="inlineStr">
        <is>
          <t>아인관세사</t>
        </is>
      </c>
      <c r="F19" s="10" t="n">
        <v>36000</v>
      </c>
      <c r="G19" s="28" t="inlineStr">
        <is>
          <t>진로직스</t>
        </is>
      </c>
      <c r="H19" s="10" t="n">
        <v>581438</v>
      </c>
      <c r="I19" s="28" t="inlineStr">
        <is>
          <t>단독</t>
        </is>
      </c>
      <c r="J19" s="28" t="n"/>
      <c r="K19" s="115" t="n"/>
      <c r="L19" s="115" t="n"/>
      <c r="M19" s="115" t="n"/>
    </row>
    <row r="20" ht="15.75" customHeight="1">
      <c r="A20" s="28" t="inlineStr">
        <is>
          <t>2317626258975M</t>
        </is>
      </c>
      <c r="B20" s="28" t="inlineStr">
        <is>
          <t>GPO468-2</t>
        </is>
      </c>
      <c r="C20" s="41" t="n">
        <v>21280</v>
      </c>
      <c r="D20" s="193">
        <f>C20/C20</f>
        <v/>
      </c>
      <c r="E20" s="28" t="n">
        <v>0</v>
      </c>
      <c r="F20" s="10" t="n">
        <v>0</v>
      </c>
      <c r="G20" s="28" t="inlineStr">
        <is>
          <t>Fedex</t>
        </is>
      </c>
      <c r="H20" s="10" t="n">
        <v>904960</v>
      </c>
      <c r="I20" s="28" t="inlineStr">
        <is>
          <t>단독</t>
        </is>
      </c>
      <c r="J20" s="28" t="n"/>
      <c r="K20" s="115" t="n"/>
      <c r="L20" s="115" t="n"/>
      <c r="M20" s="115" t="n"/>
    </row>
    <row r="21" ht="15.75" customHeight="1">
      <c r="A21" s="28" t="inlineStr">
        <is>
          <t>2235626138790M</t>
        </is>
      </c>
      <c r="B21" s="28" t="inlineStr">
        <is>
          <t>CPO692-1</t>
        </is>
      </c>
      <c r="C21" s="41" t="n">
        <v>11000</v>
      </c>
      <c r="D21" s="193">
        <f>C21/C21</f>
        <v/>
      </c>
      <c r="E21" s="28" t="n">
        <v>0</v>
      </c>
      <c r="F21" s="10" t="n">
        <v>0</v>
      </c>
      <c r="G21" s="28" t="inlineStr">
        <is>
          <t>DHL</t>
        </is>
      </c>
      <c r="H21" s="10" t="n">
        <v>1553086</v>
      </c>
      <c r="I21" s="28" t="inlineStr">
        <is>
          <t>단독</t>
        </is>
      </c>
      <c r="J21" s="28" t="n"/>
      <c r="K21" s="115" t="n"/>
      <c r="L21" s="115" t="n"/>
      <c r="M21" s="115" t="n"/>
    </row>
    <row r="22" ht="15.75" customHeight="1">
      <c r="A22" s="28" t="inlineStr">
        <is>
          <t>1400826101051M</t>
        </is>
      </c>
      <c r="B22" s="28" t="inlineStr">
        <is>
          <t>CPO692-2</t>
        </is>
      </c>
      <c r="C22" s="41" t="n">
        <v>286580</v>
      </c>
      <c r="D22" s="193">
        <f>C22/C22</f>
        <v/>
      </c>
      <c r="E22" s="28" t="inlineStr">
        <is>
          <t>조운관세사</t>
        </is>
      </c>
      <c r="F22" s="10" t="n">
        <v>250000</v>
      </c>
      <c r="G22" s="28" t="inlineStr">
        <is>
          <t>진로직스</t>
        </is>
      </c>
      <c r="H22" s="10" t="n">
        <v>2649525</v>
      </c>
      <c r="I22" s="28" t="inlineStr">
        <is>
          <t>단독</t>
        </is>
      </c>
      <c r="J22" s="28" t="n"/>
      <c r="K22" s="115" t="n"/>
      <c r="L22" s="115" t="n"/>
      <c r="M22" s="115" t="n"/>
    </row>
    <row r="23" ht="15.75" customHeight="1">
      <c r="A23" s="28" t="inlineStr">
        <is>
          <t>2235626283517M</t>
        </is>
      </c>
      <c r="B23" s="28" t="inlineStr">
        <is>
          <t>CPO695-1</t>
        </is>
      </c>
      <c r="C23" s="41" t="n">
        <v>2058</v>
      </c>
      <c r="D23" s="193">
        <f>C23/C23</f>
        <v/>
      </c>
      <c r="E23" s="28" t="inlineStr">
        <is>
          <t>운서합동</t>
        </is>
      </c>
      <c r="F23" s="10" t="n">
        <v>0</v>
      </c>
      <c r="G23" s="28" t="inlineStr">
        <is>
          <t>DHL</t>
        </is>
      </c>
      <c r="H23" s="10" t="n">
        <v>6264783</v>
      </c>
      <c r="I23" s="28" t="inlineStr">
        <is>
          <t>단독</t>
        </is>
      </c>
      <c r="J23" s="28" t="n"/>
      <c r="K23" s="115" t="n"/>
      <c r="L23" s="115" t="n"/>
      <c r="M23" s="115" t="n"/>
    </row>
    <row r="24" ht="15.75" customHeight="1">
      <c r="A24" s="28" t="inlineStr">
        <is>
          <t>2235626277307M</t>
        </is>
      </c>
      <c r="B24" s="28" t="inlineStr">
        <is>
          <t>CPO695-2</t>
        </is>
      </c>
      <c r="C24" s="41" t="n">
        <v>1977</v>
      </c>
      <c r="D24" s="193">
        <f>C24/C24</f>
        <v/>
      </c>
      <c r="E24" s="28" t="inlineStr">
        <is>
          <t>운서합동</t>
        </is>
      </c>
      <c r="F24" s="10" t="n">
        <v>0</v>
      </c>
      <c r="G24" s="28" t="inlineStr">
        <is>
          <t>DHL</t>
        </is>
      </c>
      <c r="H24" s="10" t="n">
        <v>1454605</v>
      </c>
      <c r="I24" s="28" t="inlineStr">
        <is>
          <t>단독</t>
        </is>
      </c>
      <c r="J24" s="28" t="n"/>
      <c r="K24" s="115" t="n"/>
      <c r="L24" s="115" t="n"/>
      <c r="M24" s="115" t="n"/>
    </row>
    <row r="25" ht="15.75" customHeight="1">
      <c r="A25" s="91" t="inlineStr">
        <is>
          <t>14008-26-101125M</t>
        </is>
      </c>
      <c r="B25" s="91" t="inlineStr">
        <is>
          <t>CPO696-1</t>
        </is>
      </c>
      <c r="C25" s="92" t="n">
        <v>78209</v>
      </c>
      <c r="D25" s="195" t="n">
        <v>1</v>
      </c>
      <c r="E25" s="91" t="inlineStr">
        <is>
          <t>조운관세사</t>
        </is>
      </c>
      <c r="F25" s="94" t="n">
        <v>286000</v>
      </c>
      <c r="G25" s="91" t="inlineStr">
        <is>
          <t>진로직스</t>
        </is>
      </c>
      <c r="H25" s="94" t="n">
        <v>3909069</v>
      </c>
      <c r="I25" s="91" t="inlineStr">
        <is>
          <t>단독</t>
        </is>
      </c>
      <c r="J25" s="91" t="n"/>
      <c r="K25" s="95" t="n"/>
      <c r="L25" s="95" t="n"/>
      <c r="M25" s="115" t="n"/>
    </row>
    <row r="26" ht="15.75" customHeight="1">
      <c r="A26" s="91" t="inlineStr">
        <is>
          <t>14008-26-101129M</t>
        </is>
      </c>
      <c r="B26" s="91" t="inlineStr">
        <is>
          <t>CPO696-2</t>
        </is>
      </c>
      <c r="C26" s="92" t="n">
        <v>8140</v>
      </c>
      <c r="D26" s="195" t="n">
        <v>1</v>
      </c>
      <c r="E26" s="91" t="inlineStr">
        <is>
          <t>조운관세사</t>
        </is>
      </c>
      <c r="F26" s="94" t="n">
        <v>33000</v>
      </c>
      <c r="G26" s="91" t="inlineStr">
        <is>
          <t>진로직스</t>
        </is>
      </c>
      <c r="H26" s="94" t="n">
        <v>846621</v>
      </c>
      <c r="I26" s="91" t="inlineStr">
        <is>
          <t>단독</t>
        </is>
      </c>
      <c r="J26" s="91" t="n"/>
      <c r="K26" s="95" t="n"/>
      <c r="L26" s="95" t="n"/>
      <c r="M26" s="115" t="n"/>
    </row>
    <row r="27" ht="15.75" customHeight="1">
      <c r="A27" s="229" t="inlineStr">
        <is>
          <t>14008-26-101147M</t>
        </is>
      </c>
      <c r="B27" s="229" t="inlineStr">
        <is>
          <t>FRC-MONOPLEX26</t>
        </is>
      </c>
      <c r="C27" s="230" t="n">
        <v>51952</v>
      </c>
      <c r="D27" s="231" t="n">
        <v>1</v>
      </c>
      <c r="E27" s="229" t="inlineStr">
        <is>
          <t>조운관세사</t>
        </is>
      </c>
      <c r="F27" s="232" t="n">
        <v>250000</v>
      </c>
      <c r="G27" s="229" t="inlineStr">
        <is>
          <t>진로직스</t>
        </is>
      </c>
      <c r="H27" s="232" t="n">
        <v>5002612</v>
      </c>
      <c r="I27" s="229" t="inlineStr">
        <is>
          <t>단독</t>
        </is>
      </c>
      <c r="J27" s="229" t="n"/>
      <c r="K27" s="115" t="n"/>
      <c r="L27" s="115" t="n"/>
      <c r="M27" s="115" t="n"/>
    </row>
    <row r="28" ht="15.75" customHeight="1">
      <c r="A28" s="229" t="inlineStr">
        <is>
          <t>14008-26-101170M</t>
        </is>
      </c>
      <c r="B28" s="229" t="inlineStr">
        <is>
          <t>GPO473-2</t>
        </is>
      </c>
      <c r="C28" s="230" t="n">
        <v>69160</v>
      </c>
      <c r="D28" s="231" t="n">
        <v>1</v>
      </c>
      <c r="E28" s="229" t="inlineStr">
        <is>
          <t>조운관세사</t>
        </is>
      </c>
      <c r="F28" s="232" t="n">
        <v>250000</v>
      </c>
      <c r="G28" s="229" t="inlineStr">
        <is>
          <t>진로직스</t>
        </is>
      </c>
      <c r="H28" s="232" t="n">
        <v>3759954</v>
      </c>
      <c r="I28" s="229" t="inlineStr">
        <is>
          <t>단독</t>
        </is>
      </c>
      <c r="J28" s="229" t="inlineStr">
        <is>
          <t>통관 USD 98,800 (FOC loan 6 SET 포함)</t>
        </is>
      </c>
      <c r="K28" s="115" t="n"/>
      <c r="L28" s="115" t="n"/>
      <c r="M28" s="115" t="n"/>
    </row>
    <row r="29" ht="15.75" customHeight="1">
      <c r="A29" s="229" t="inlineStr">
        <is>
          <t>14008-26-101191M</t>
        </is>
      </c>
      <c r="B29" s="229" t="inlineStr">
        <is>
          <t>GPO473-3</t>
        </is>
      </c>
      <c r="C29" s="230" t="n">
        <v>49400</v>
      </c>
      <c r="D29" s="231" t="n">
        <v>1</v>
      </c>
      <c r="E29" s="229" t="inlineStr">
        <is>
          <t>조운관세사</t>
        </is>
      </c>
      <c r="F29" s="232" t="n">
        <v>250000</v>
      </c>
      <c r="G29" s="229" t="inlineStr">
        <is>
          <t>진로직스</t>
        </is>
      </c>
      <c r="H29" s="232" t="n">
        <v>2259958</v>
      </c>
      <c r="I29" s="229" t="inlineStr">
        <is>
          <t>단독</t>
        </is>
      </c>
      <c r="J29" s="229" t="n"/>
      <c r="K29" s="115" t="n"/>
      <c r="L29" s="115" t="n"/>
      <c r="M29" s="115" t="n"/>
    </row>
    <row r="30">
      <c r="A30" s="241" t="inlineStr">
        <is>
          <t>14008-26-101140M</t>
        </is>
      </c>
      <c r="B30" s="241" t="inlineStr">
        <is>
          <t>CPO696-3</t>
        </is>
      </c>
      <c r="C30" s="242" t="n">
        <v>351274</v>
      </c>
      <c r="D30" s="243">
        <f>C30/C30</f>
        <v/>
      </c>
      <c r="E30" s="241" t="inlineStr">
        <is>
          <t>조운관세사무소</t>
        </is>
      </c>
      <c r="F30" s="244" t="n">
        <v>250000</v>
      </c>
      <c r="G30" s="241" t="inlineStr">
        <is>
          <t>조운관세사무소</t>
        </is>
      </c>
      <c r="H30" s="244" t="n">
        <v>3103207</v>
      </c>
      <c r="I30" s="241" t="inlineStr">
        <is>
          <t>단독</t>
        </is>
      </c>
      <c r="J30" s="241" t="n"/>
      <c r="K30" s="228" t="n"/>
      <c r="L30" s="228" t="n"/>
      <c r="M30" s="228" t="n"/>
    </row>
    <row r="31">
      <c r="A31" s="241" t="inlineStr">
        <is>
          <t>14008-26-101148M</t>
        </is>
      </c>
      <c r="B31" s="241" t="inlineStr">
        <is>
          <t>GPO473-1</t>
        </is>
      </c>
      <c r="C31" s="242" t="n">
        <v>98800</v>
      </c>
      <c r="D31" s="243">
        <f>C31/C31</f>
        <v/>
      </c>
      <c r="E31" s="241" t="inlineStr">
        <is>
          <t>조운관세사무소</t>
        </is>
      </c>
      <c r="F31" s="244" t="n">
        <v>250000</v>
      </c>
      <c r="G31" s="241" t="inlineStr">
        <is>
          <t>조운관세사무소</t>
        </is>
      </c>
      <c r="H31" s="244" t="n">
        <v>3636072</v>
      </c>
      <c r="I31" s="241" t="inlineStr">
        <is>
          <t>단독</t>
        </is>
      </c>
      <c r="J31" s="241" t="n"/>
      <c r="K31" s="228" t="n"/>
      <c r="L31" s="228" t="n"/>
      <c r="M31" s="228" t="n"/>
    </row>
    <row r="32">
      <c r="A32" s="241" t="inlineStr">
        <is>
          <t>14008-26-101168M</t>
        </is>
      </c>
      <c r="B32" s="241" t="inlineStr">
        <is>
          <t>CPO696-4</t>
        </is>
      </c>
      <c r="C32" s="242" t="n">
        <v>807233</v>
      </c>
      <c r="D32" s="243">
        <f>C32/C32</f>
        <v/>
      </c>
      <c r="E32" s="241" t="inlineStr">
        <is>
          <t>조운관세사무소</t>
        </is>
      </c>
      <c r="F32" s="244" t="n">
        <v>250000</v>
      </c>
      <c r="G32" s="241" t="inlineStr">
        <is>
          <t>조운관세사무소</t>
        </is>
      </c>
      <c r="H32" s="244" t="n">
        <v>3270326</v>
      </c>
      <c r="I32" s="241" t="inlineStr">
        <is>
          <t>단독</t>
        </is>
      </c>
      <c r="J32" s="241" t="n"/>
      <c r="K32" s="228" t="n"/>
      <c r="L32" s="228" t="n"/>
      <c r="M32" s="228" t="n"/>
    </row>
    <row r="33">
      <c r="A33" s="241" t="inlineStr">
        <is>
          <t>883504210357</t>
        </is>
      </c>
      <c r="B33" s="241" t="inlineStr">
        <is>
          <t>IPO016</t>
        </is>
      </c>
      <c r="C33" s="242" t="n">
        <v>6800</v>
      </c>
      <c r="D33" s="243">
        <f>C33/C33</f>
        <v/>
      </c>
      <c r="E33" s="241" t="inlineStr">
        <is>
          <t>인천세관(특송)</t>
        </is>
      </c>
      <c r="F33" s="244" t="n">
        <v>0</v>
      </c>
      <c r="G33" s="241" t="inlineStr">
        <is>
          <t>DHL</t>
        </is>
      </c>
      <c r="H33" s="244" t="n">
        <v>0</v>
      </c>
      <c r="I33" s="241" t="inlineStr">
        <is>
          <t>단독</t>
        </is>
      </c>
      <c r="J33" s="241" t="n"/>
      <c r="K33" s="228" t="n"/>
      <c r="L33" s="228" t="n"/>
      <c r="M33" s="228" t="n"/>
    </row>
    <row r="34">
      <c r="A34" s="241" t="inlineStr">
        <is>
          <t>22356-26-351613M</t>
        </is>
      </c>
      <c r="B34" s="241" t="inlineStr">
        <is>
          <t>SX3000수리</t>
        </is>
      </c>
      <c r="C34" s="242" t="n">
        <v>400</v>
      </c>
      <c r="D34" s="243">
        <f>C34/C34</f>
        <v/>
      </c>
      <c r="E34" s="241" t="inlineStr">
        <is>
          <t>운서합동관세사무소</t>
        </is>
      </c>
      <c r="F34" s="244" t="n">
        <v>0</v>
      </c>
      <c r="G34" s="241" t="inlineStr">
        <is>
          <t>DHL</t>
        </is>
      </c>
      <c r="H34" s="244" t="n">
        <v>216006</v>
      </c>
      <c r="I34" s="241" t="inlineStr">
        <is>
          <t>단독</t>
        </is>
      </c>
      <c r="J34" s="241" t="n"/>
      <c r="K34" s="228" t="n"/>
      <c r="L34" s="228" t="n"/>
      <c r="M34" s="228" t="n"/>
    </row>
    <row r="35">
      <c r="A35" s="241" t="inlineStr">
        <is>
          <t>2235626346781M</t>
        </is>
      </c>
      <c r="B35" s="241" t="inlineStr">
        <is>
          <t>CPO698</t>
        </is>
      </c>
      <c r="C35" s="242" t="n">
        <v>4290</v>
      </c>
      <c r="D35" s="243">
        <f>C35/C35</f>
        <v/>
      </c>
      <c r="E35" s="241" t="inlineStr">
        <is>
          <t>운서합동관세사무소</t>
        </is>
      </c>
      <c r="F35" s="244" t="n">
        <v>0</v>
      </c>
      <c r="G35" s="241" t="inlineStr">
        <is>
          <t>DHL</t>
        </is>
      </c>
      <c r="H35" s="244" t="n">
        <v>174806</v>
      </c>
      <c r="I35" s="241" t="inlineStr">
        <is>
          <t>단독</t>
        </is>
      </c>
      <c r="J35" s="241" t="n"/>
      <c r="K35" s="228" t="n"/>
      <c r="L35" s="228" t="n"/>
      <c r="M35" s="228" t="n"/>
    </row>
    <row r="36">
      <c r="A36" s="241" t="inlineStr">
        <is>
          <t>14008-26-101227M</t>
        </is>
      </c>
      <c r="B36" s="241" t="inlineStr">
        <is>
          <t>CPO696-5</t>
        </is>
      </c>
      <c r="C36" s="242" t="n">
        <v>346792</v>
      </c>
      <c r="D36" s="243">
        <f>C36/C36</f>
        <v/>
      </c>
      <c r="E36" s="241" t="inlineStr">
        <is>
          <t>조운관세사무소</t>
        </is>
      </c>
      <c r="F36" s="244" t="n">
        <v>286000</v>
      </c>
      <c r="G36" s="241" t="inlineStr">
        <is>
          <t>진로직스</t>
        </is>
      </c>
      <c r="H36" s="244" t="n">
        <v>2898404</v>
      </c>
      <c r="I36" s="241" t="inlineStr">
        <is>
          <t>단독</t>
        </is>
      </c>
      <c r="J36" s="241" t="inlineStr"/>
    </row>
    <row r="37" ht="15.75" customHeight="1">
      <c r="A37" s="292" t="inlineStr">
        <is>
          <t>14008-26-101275M</t>
        </is>
      </c>
      <c r="B37" s="292" t="inlineStr">
        <is>
          <t>MPO67</t>
        </is>
      </c>
      <c r="C37" s="293" t="n">
        <v>49138.8</v>
      </c>
      <c r="D37" s="294">
        <f>C37/(C37+C38)</f>
        <v/>
      </c>
      <c r="E37" s="292" t="inlineStr">
        <is>
          <t>조운관세사무소</t>
        </is>
      </c>
      <c r="F37" s="295">
        <f>ROUND(253000*D37,0)</f>
        <v/>
      </c>
      <c r="G37" s="292" t="inlineStr">
        <is>
          <t>진로직스</t>
        </is>
      </c>
      <c r="H37" s="295">
        <f>ROUND(17883555*D37,0)</f>
        <v/>
      </c>
      <c r="I37" s="292" t="inlineStr">
        <is>
          <t>합배송</t>
        </is>
      </c>
      <c r="J37" s="292" t="inlineStr">
        <is>
          <t>2건 합산(롯데/CJ미래원)</t>
        </is>
      </c>
    </row>
    <row r="38" ht="15.75" customHeight="1">
      <c r="A38" s="292" t="inlineStr"/>
      <c r="B38" s="292" t="inlineStr">
        <is>
          <t>MPO68</t>
        </is>
      </c>
      <c r="C38" s="293" t="n">
        <v>11587.2</v>
      </c>
      <c r="D38" s="294">
        <f>C38/(C37+C38)</f>
        <v/>
      </c>
      <c r="E38" s="292" t="inlineStr">
        <is>
          <t>조운관세사무소</t>
        </is>
      </c>
      <c r="F38" s="295">
        <f>253000-F37</f>
        <v/>
      </c>
      <c r="G38" s="292" t="inlineStr">
        <is>
          <t>진로직스</t>
        </is>
      </c>
      <c r="H38" s="295">
        <f>17883555-H37</f>
        <v/>
      </c>
      <c r="I38" s="292" t="inlineStr">
        <is>
          <t>합배송</t>
        </is>
      </c>
      <c r="J38" s="292" t="inlineStr"/>
    </row>
    <row r="39">
      <c r="A39" s="241" t="inlineStr">
        <is>
          <t>14008-26-101317M</t>
        </is>
      </c>
      <c r="B39" s="241" t="inlineStr">
        <is>
          <t>APO001</t>
        </is>
      </c>
      <c r="C39" s="242" t="n">
        <v>12400</v>
      </c>
      <c r="D39" s="243">
        <f>C39/C39</f>
        <v/>
      </c>
      <c r="E39" s="241" t="inlineStr">
        <is>
          <t>조운관세사무소</t>
        </is>
      </c>
      <c r="F39" s="244" t="n">
        <v>43010</v>
      </c>
      <c r="G39" s="241" t="inlineStr">
        <is>
          <t>진로직스</t>
        </is>
      </c>
      <c r="H39" s="244" t="n">
        <v>692650</v>
      </c>
      <c r="I39" s="241" t="inlineStr">
        <is>
          <t>단독</t>
        </is>
      </c>
      <c r="J39" s="241" t="n"/>
      <c r="K39" s="160" t="n"/>
      <c r="L39" s="160" t="n"/>
      <c r="M39" s="160" t="n"/>
    </row>
    <row r="71">
      <c r="M71" s="40" t="n"/>
    </row>
  </sheetData>
  <mergeCells count="2">
    <mergeCell ref="A1:J1"/>
    <mergeCell ref="A2:J2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97"/>
  <sheetViews>
    <sheetView showGridLines="0" zoomScaleNormal="100" workbookViewId="0">
      <pane ySplit="2" topLeftCell="A3" activePane="bottomLeft" state="frozen"/>
      <selection activeCell="L48" sqref="L48"/>
      <selection pane="bottomLeft" activeCell="I36" sqref="I36"/>
    </sheetView>
  </sheetViews>
  <sheetFormatPr baseColWidth="10" defaultColWidth="8.83203125" defaultRowHeight="17"/>
  <cols>
    <col width="12.83203125" customWidth="1" style="160" min="1" max="1"/>
    <col width="12" customWidth="1" style="160" min="2" max="2"/>
    <col width="16" customWidth="1" style="160" min="3" max="3"/>
    <col width="24" customWidth="1" style="160" min="4" max="4"/>
    <col width="14" customWidth="1" style="160" min="5" max="5"/>
    <col width="11" customWidth="1" style="160" min="6" max="6"/>
    <col width="15" customWidth="1" style="160" min="7" max="9"/>
    <col width="16" customWidth="1" style="160" min="10" max="11"/>
    <col width="12" customWidth="1" style="160" min="12" max="12"/>
    <col width="8.83203125" customWidth="1" style="160" min="13" max="17"/>
    <col width="8.83203125" customWidth="1" style="160" min="18" max="16384"/>
  </cols>
  <sheetData>
    <row r="1" ht="24" customHeight="1">
      <c r="A1" s="169" t="inlineStr">
        <is>
          <t>① 송금건별 데이터 (송금확인서 기준)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9" t="n"/>
      <c r="M1" s="114" t="n"/>
    </row>
    <row r="2" ht="28" customHeight="1">
      <c r="A2" s="150" t="inlineStr">
        <is>
          <t>No.</t>
        </is>
      </c>
      <c r="B2" s="150" t="inlineStr">
        <is>
          <t>송금일</t>
        </is>
      </c>
      <c r="C2" s="150" t="inlineStr">
        <is>
          <t>수취인</t>
        </is>
      </c>
      <c r="D2" s="150" t="inlineStr">
        <is>
          <t>PO참조</t>
        </is>
      </c>
      <c r="E2" s="150" t="inlineStr">
        <is>
          <t>USD금액</t>
        </is>
      </c>
      <c r="F2" s="150" t="inlineStr">
        <is>
          <t>적용환율</t>
        </is>
      </c>
      <c r="G2" s="150" t="inlineStr">
        <is>
          <t>중개수수료(USD)</t>
        </is>
      </c>
      <c r="H2" s="150" t="inlineStr">
        <is>
          <t>수수료(KRW)</t>
        </is>
      </c>
      <c r="I2" s="150" t="inlineStr">
        <is>
          <t>전신료(KRW)</t>
        </is>
      </c>
      <c r="J2" s="150" t="inlineStr">
        <is>
          <t>KRW총액(실제)</t>
        </is>
      </c>
      <c r="K2" s="150" t="inlineStr">
        <is>
          <t>KRW총액(검증)</t>
        </is>
      </c>
      <c r="L2" s="150" t="inlineStr">
        <is>
          <t>차이</t>
        </is>
      </c>
      <c r="M2" s="114" t="n"/>
    </row>
    <row r="3" ht="15.75" customHeight="1">
      <c r="A3" s="3" t="n">
        <v>1</v>
      </c>
      <c r="B3" s="3" t="inlineStr">
        <is>
          <t>2025.12.01</t>
        </is>
      </c>
      <c r="C3" s="4" t="inlineStr">
        <is>
          <t>Christie</t>
        </is>
      </c>
      <c r="D3" s="3" t="inlineStr">
        <is>
          <t>CPO668-3, CPO673</t>
        </is>
      </c>
      <c r="E3" s="33" t="n">
        <v>35563</v>
      </c>
      <c r="F3" s="7" t="n">
        <v>0</v>
      </c>
      <c r="G3" s="33" t="n">
        <v>20</v>
      </c>
      <c r="H3" s="9" t="n">
        <v>0</v>
      </c>
      <c r="I3" s="9" t="n">
        <v>0</v>
      </c>
      <c r="J3" s="9" t="n">
        <v>0</v>
      </c>
      <c r="K3" s="9">
        <f>ROUND((E3+G3)*F3+H3+I3,0)</f>
        <v/>
      </c>
      <c r="L3" s="35">
        <f>J3-K3</f>
        <v/>
      </c>
      <c r="M3" s="115" t="n"/>
    </row>
    <row r="4" ht="15.75" customHeight="1">
      <c r="A4" s="3" t="n">
        <v>2</v>
      </c>
      <c r="B4" s="3" t="inlineStr">
        <is>
          <t>2025.12.02</t>
        </is>
      </c>
      <c r="C4" s="4" t="inlineStr">
        <is>
          <t>GDC</t>
        </is>
      </c>
      <c r="D4" s="3" t="inlineStr">
        <is>
          <t>GPO-445, 446-1, 447, 448</t>
        </is>
      </c>
      <c r="E4" s="33" t="n">
        <v>55830</v>
      </c>
      <c r="F4" s="7" t="n">
        <v>0</v>
      </c>
      <c r="G4" s="33" t="n">
        <v>20</v>
      </c>
      <c r="H4" s="9" t="n">
        <v>0</v>
      </c>
      <c r="I4" s="9" t="n">
        <v>0</v>
      </c>
      <c r="J4" s="9" t="n">
        <v>0</v>
      </c>
      <c r="K4" s="9">
        <f>ROUND((E4+G4)*F4+H4+I4,0)</f>
        <v/>
      </c>
      <c r="L4" s="35">
        <f>J4-K4</f>
        <v/>
      </c>
      <c r="M4" s="115" t="n"/>
    </row>
    <row r="5" ht="15.75" customHeight="1">
      <c r="A5" s="3" t="n">
        <v>3</v>
      </c>
      <c r="B5" s="3" t="inlineStr">
        <is>
          <t>2025.12.02</t>
        </is>
      </c>
      <c r="C5" s="4" t="inlineStr">
        <is>
          <t>Christie</t>
        </is>
      </c>
      <c r="D5" s="3" t="inlineStr">
        <is>
          <t>CPO-669</t>
        </is>
      </c>
      <c r="E5" s="33" t="n">
        <v>7410</v>
      </c>
      <c r="F5" s="7" t="n">
        <v>0</v>
      </c>
      <c r="G5" s="33" t="n">
        <v>20</v>
      </c>
      <c r="H5" s="9" t="n">
        <v>0</v>
      </c>
      <c r="I5" s="9" t="n">
        <v>0</v>
      </c>
      <c r="J5" s="9" t="n">
        <v>0</v>
      </c>
      <c r="K5" s="9">
        <f>ROUND((E5+G5)*F5+H5+I5,0)</f>
        <v/>
      </c>
      <c r="L5" s="35">
        <f>J5-K5</f>
        <v/>
      </c>
      <c r="M5" s="115" t="n"/>
    </row>
    <row r="6" ht="15.75" customHeight="1">
      <c r="A6" s="3" t="n">
        <v>4</v>
      </c>
      <c r="B6" s="3" t="inlineStr">
        <is>
          <t>2025.12.09</t>
        </is>
      </c>
      <c r="C6" s="4" t="inlineStr">
        <is>
          <t>Christie</t>
        </is>
      </c>
      <c r="D6" s="3" t="inlineStr">
        <is>
          <t>CPO675,677,CPO-664-2</t>
        </is>
      </c>
      <c r="E6" s="33" t="n">
        <v>6024</v>
      </c>
      <c r="F6" s="7" t="n">
        <v>1473.3</v>
      </c>
      <c r="G6" s="33" t="n">
        <v>20</v>
      </c>
      <c r="H6" s="9" t="n">
        <v>10000</v>
      </c>
      <c r="I6" s="9" t="n">
        <v>8000</v>
      </c>
      <c r="J6" s="9" t="n">
        <v>8922625</v>
      </c>
      <c r="K6" s="9">
        <f>ROUND((E6+G6)*F6+H6+I6,0)</f>
        <v/>
      </c>
      <c r="L6" s="35">
        <f>J6-K6</f>
        <v/>
      </c>
      <c r="M6" s="115" t="n"/>
    </row>
    <row r="7" ht="15.75" customHeight="1">
      <c r="A7" s="3" t="n">
        <v>5</v>
      </c>
      <c r="B7" s="3" t="inlineStr">
        <is>
          <t>2025.12.09</t>
        </is>
      </c>
      <c r="C7" s="4" t="inlineStr">
        <is>
          <t>GDC</t>
        </is>
      </c>
      <c r="D7" s="3" t="inlineStr">
        <is>
          <t>GPO449,450,452,453,454</t>
        </is>
      </c>
      <c r="E7" s="33" t="n">
        <v>7862</v>
      </c>
      <c r="F7" s="7" t="n">
        <v>1473.2</v>
      </c>
      <c r="G7" s="33" t="n">
        <v>20</v>
      </c>
      <c r="H7" s="9" t="n">
        <v>10000</v>
      </c>
      <c r="I7" s="9" t="n">
        <v>8000</v>
      </c>
      <c r="J7" s="9" t="n">
        <v>11629762</v>
      </c>
      <c r="K7" s="9">
        <f>ROUND((E7+G7)*F7+H7+I7,0)</f>
        <v/>
      </c>
      <c r="L7" s="35">
        <f>J7-K7</f>
        <v/>
      </c>
      <c r="M7" s="115" t="n"/>
    </row>
    <row r="8" ht="15.75" customHeight="1">
      <c r="A8" s="3" t="n">
        <v>6</v>
      </c>
      <c r="B8" s="3" t="inlineStr">
        <is>
          <t>2025.12.16</t>
        </is>
      </c>
      <c r="C8" s="4" t="inlineStr">
        <is>
          <t>MAG</t>
        </is>
      </c>
      <c r="D8" s="3" t="inlineStr">
        <is>
          <t>MPO-65,64</t>
        </is>
      </c>
      <c r="E8" s="33" t="n">
        <v>15040</v>
      </c>
      <c r="F8" s="7" t="n">
        <v>1480</v>
      </c>
      <c r="G8" s="33" t="n">
        <v>20</v>
      </c>
      <c r="H8" s="9" t="n">
        <v>10000</v>
      </c>
      <c r="I8" s="9" t="n">
        <v>8000</v>
      </c>
      <c r="J8" s="9" t="n">
        <v>22306800</v>
      </c>
      <c r="K8" s="9">
        <f>ROUND((E8+G8)*F8+H8+I8,0)</f>
        <v/>
      </c>
      <c r="L8" s="35">
        <f>J8-K8</f>
        <v/>
      </c>
      <c r="M8" s="115" t="n"/>
    </row>
    <row r="9" ht="15.75" customHeight="1">
      <c r="A9" s="3" t="n">
        <v>7</v>
      </c>
      <c r="B9" s="3" t="inlineStr">
        <is>
          <t>2025.12.16</t>
        </is>
      </c>
      <c r="C9" s="4" t="inlineStr">
        <is>
          <t>Christie</t>
        </is>
      </c>
      <c r="D9" s="3" t="inlineStr">
        <is>
          <t>CPO-679,CPO-678-1</t>
        </is>
      </c>
      <c r="E9" s="33" t="n">
        <v>143557</v>
      </c>
      <c r="F9" s="7" t="n">
        <v>1479.7</v>
      </c>
      <c r="G9" s="33" t="n">
        <v>20</v>
      </c>
      <c r="H9" s="9" t="n">
        <v>12500</v>
      </c>
      <c r="I9" s="9" t="n">
        <v>8000</v>
      </c>
      <c r="J9" s="9" t="n">
        <v>212471386</v>
      </c>
      <c r="K9" s="9">
        <f>ROUND((E9+G9)*F9+H9+I9,0)</f>
        <v/>
      </c>
      <c r="L9" s="35">
        <f>J9-K9</f>
        <v/>
      </c>
      <c r="M9" s="115" t="n"/>
    </row>
    <row r="10" ht="15.75" customHeight="1">
      <c r="A10" s="3" t="n">
        <v>8</v>
      </c>
      <c r="B10" s="3" t="inlineStr">
        <is>
          <t>2025.12.29</t>
        </is>
      </c>
      <c r="C10" s="4" t="inlineStr">
        <is>
          <t>GDC</t>
        </is>
      </c>
      <c r="D10" s="3" t="inlineStr">
        <is>
          <t>GPO451,458,455,456,457</t>
        </is>
      </c>
      <c r="E10" s="33" t="n">
        <v>13860</v>
      </c>
      <c r="F10" s="7" t="n">
        <v>1439.1</v>
      </c>
      <c r="G10" s="33" t="n">
        <v>20</v>
      </c>
      <c r="H10" s="9" t="n">
        <v>10000</v>
      </c>
      <c r="I10" s="9" t="n">
        <v>8000</v>
      </c>
      <c r="J10" s="9" t="n">
        <v>18264679</v>
      </c>
      <c r="K10" s="9">
        <f>ROUND((E10+G10)*F10+H10+I10,0)</f>
        <v/>
      </c>
      <c r="L10" s="35">
        <f>J10-K10</f>
        <v/>
      </c>
      <c r="M10" s="115" t="n"/>
    </row>
    <row r="11" ht="15.75" customHeight="1">
      <c r="A11" s="3" t="n">
        <v>9</v>
      </c>
      <c r="B11" s="3" t="inlineStr">
        <is>
          <t>2025.12.30</t>
        </is>
      </c>
      <c r="C11" s="4" t="inlineStr">
        <is>
          <t>Christie</t>
        </is>
      </c>
      <c r="D11" s="3" t="inlineStr">
        <is>
          <t>CPO676</t>
        </is>
      </c>
      <c r="E11" s="33" t="n">
        <v>36060</v>
      </c>
      <c r="F11" s="7" t="n">
        <v>1442.7</v>
      </c>
      <c r="G11" s="33" t="n">
        <v>20</v>
      </c>
      <c r="H11" s="9" t="n">
        <v>12500</v>
      </c>
      <c r="I11" s="9" t="n">
        <v>8000</v>
      </c>
      <c r="J11" s="9" t="n">
        <v>52073116</v>
      </c>
      <c r="K11" s="9">
        <f>ROUND((E11+G11)*F11+H11+I11,0)</f>
        <v/>
      </c>
      <c r="L11" s="35">
        <f>J11-K11</f>
        <v/>
      </c>
      <c r="M11" s="115" t="n"/>
    </row>
    <row r="12" ht="15.75" customHeight="1">
      <c r="A12" s="3" t="n">
        <v>10</v>
      </c>
      <c r="B12" s="3" t="inlineStr">
        <is>
          <t>2026.01.13</t>
        </is>
      </c>
      <c r="C12" s="4" t="inlineStr">
        <is>
          <t>Christie</t>
        </is>
      </c>
      <c r="D12" s="3" t="inlineStr">
        <is>
          <t>CPO680</t>
        </is>
      </c>
      <c r="E12" s="33" t="n">
        <v>252</v>
      </c>
      <c r="F12" s="7" t="n">
        <v>1479</v>
      </c>
      <c r="G12" s="33" t="n">
        <v>20</v>
      </c>
      <c r="H12" s="9" t="n">
        <v>2500</v>
      </c>
      <c r="I12" s="9" t="n">
        <v>8000</v>
      </c>
      <c r="J12" s="9" t="n">
        <v>412788</v>
      </c>
      <c r="K12" s="9">
        <f>ROUND((E12+G12)*F12+H12+I12,0)</f>
        <v/>
      </c>
      <c r="L12" s="35">
        <f>J12-K12</f>
        <v/>
      </c>
      <c r="M12" s="115" t="n"/>
    </row>
    <row r="13" ht="15.75" customHeight="1">
      <c r="A13" s="3" t="n">
        <v>11</v>
      </c>
      <c r="B13" s="3" t="inlineStr">
        <is>
          <t>2026.01.21</t>
        </is>
      </c>
      <c r="C13" s="4" t="inlineStr">
        <is>
          <t>GDC</t>
        </is>
      </c>
      <c r="D13" s="3" t="inlineStr">
        <is>
          <t>GPO459,460,461</t>
        </is>
      </c>
      <c r="E13" s="33" t="n">
        <v>3700</v>
      </c>
      <c r="F13" s="7" t="n">
        <v>1475.7</v>
      </c>
      <c r="G13" s="33" t="n">
        <v>20</v>
      </c>
      <c r="H13" s="9" t="n">
        <v>7500</v>
      </c>
      <c r="I13" s="9" t="n">
        <v>8000</v>
      </c>
      <c r="J13" s="9" t="n">
        <v>5505104</v>
      </c>
      <c r="K13" s="9">
        <f>ROUND((E13+G13)*F13+H13+I13,0)</f>
        <v/>
      </c>
      <c r="L13" s="35">
        <f>J13-K13</f>
        <v/>
      </c>
      <c r="M13" s="115" t="n"/>
    </row>
    <row r="14" ht="15.75" customHeight="1">
      <c r="A14" s="3" t="n">
        <v>12</v>
      </c>
      <c r="B14" s="3" t="inlineStr">
        <is>
          <t>2026.01.21</t>
        </is>
      </c>
      <c r="C14" s="4" t="inlineStr">
        <is>
          <t>MAG</t>
        </is>
      </c>
      <c r="D14" s="3" t="inlineStr">
        <is>
          <t>MPO-66</t>
        </is>
      </c>
      <c r="E14" s="33" t="n">
        <v>9626.35</v>
      </c>
      <c r="F14" s="7" t="n">
        <v>1476</v>
      </c>
      <c r="G14" s="33" t="n">
        <v>20</v>
      </c>
      <c r="H14" s="9" t="n">
        <v>10000</v>
      </c>
      <c r="I14" s="9" t="n">
        <v>8000</v>
      </c>
      <c r="J14" s="9" t="n">
        <v>14256012</v>
      </c>
      <c r="K14" s="9">
        <f>ROUND((E14+G14)*F14+H14+I14,0)</f>
        <v/>
      </c>
      <c r="L14" s="35">
        <f>J14-K14</f>
        <v/>
      </c>
      <c r="M14" s="115" t="n"/>
    </row>
    <row r="15" ht="15.75" customHeight="1">
      <c r="A15" s="3" t="n">
        <v>13</v>
      </c>
      <c r="B15" s="3" t="inlineStr">
        <is>
          <t>2026.01.30</t>
        </is>
      </c>
      <c r="C15" s="4" t="inlineStr">
        <is>
          <t>Lemon</t>
        </is>
      </c>
      <c r="D15" s="3" t="inlineStr">
        <is>
          <t>LPO-001</t>
        </is>
      </c>
      <c r="E15" s="33" t="n">
        <v>5056.8</v>
      </c>
      <c r="F15" s="7" t="n">
        <v>1445.5</v>
      </c>
      <c r="G15" s="33" t="n">
        <v>20</v>
      </c>
      <c r="H15" s="9" t="n">
        <v>10000</v>
      </c>
      <c r="I15" s="9" t="n">
        <v>8000</v>
      </c>
      <c r="J15" s="9" t="n">
        <v>7356514</v>
      </c>
      <c r="K15" s="9">
        <f>ROUND((E15+G15)*F15+H15+I15,0)</f>
        <v/>
      </c>
      <c r="L15" s="35">
        <f>J15-K15</f>
        <v/>
      </c>
      <c r="M15" s="115" t="n"/>
    </row>
    <row r="16" ht="15.75" customHeight="1">
      <c r="A16" s="3" t="n">
        <v>14</v>
      </c>
      <c r="B16" s="3" t="inlineStr">
        <is>
          <t>2026.01.30</t>
        </is>
      </c>
      <c r="C16" s="4" t="inlineStr">
        <is>
          <t>Monoplex</t>
        </is>
      </c>
      <c r="D16" s="3" t="inlineStr">
        <is>
          <t>MONOPLEX20260126-01</t>
        </is>
      </c>
      <c r="E16" s="33" t="n">
        <v>25976</v>
      </c>
      <c r="F16" s="7" t="n">
        <v>1445.5</v>
      </c>
      <c r="G16" s="33" t="n">
        <v>20</v>
      </c>
      <c r="H16" s="9" t="n">
        <v>12500</v>
      </c>
      <c r="I16" s="9" t="n">
        <v>8000</v>
      </c>
      <c r="J16" s="9" t="n">
        <v>37597718</v>
      </c>
      <c r="K16" s="9">
        <f>ROUND((E16+G16)*F16+H16+I16,0)</f>
        <v/>
      </c>
      <c r="L16" s="35">
        <f>J16-K16</f>
        <v/>
      </c>
      <c r="M16" s="115" t="n"/>
    </row>
    <row r="17" ht="15.75" customHeight="1">
      <c r="A17" s="3" t="n">
        <v>15</v>
      </c>
      <c r="B17" s="3" t="inlineStr">
        <is>
          <t>2026.02.04</t>
        </is>
      </c>
      <c r="C17" s="4" t="inlineStr">
        <is>
          <t>Christie</t>
        </is>
      </c>
      <c r="D17" s="3" t="inlineStr">
        <is>
          <t>CPO-682,683</t>
        </is>
      </c>
      <c r="E17" s="33" t="n">
        <v>24794</v>
      </c>
      <c r="F17" s="7" t="n">
        <v>1454.7</v>
      </c>
      <c r="G17" s="33" t="n">
        <v>20</v>
      </c>
      <c r="H17" s="9" t="n">
        <v>12500</v>
      </c>
      <c r="I17" s="9" t="n">
        <v>8000</v>
      </c>
      <c r="J17" s="9" t="n">
        <v>36117425</v>
      </c>
      <c r="K17" s="9">
        <f>ROUND((E17+G17)*F17+H17+I17,0)</f>
        <v/>
      </c>
      <c r="L17" s="35">
        <f>J17-K17</f>
        <v/>
      </c>
      <c r="M17" s="115" t="n"/>
    </row>
    <row r="18" ht="15.75" customHeight="1">
      <c r="A18" s="3" t="n">
        <v>16</v>
      </c>
      <c r="B18" s="3" t="inlineStr">
        <is>
          <t>2026.02.04</t>
        </is>
      </c>
      <c r="C18" s="4" t="inlineStr">
        <is>
          <t>GDC</t>
        </is>
      </c>
      <c r="D18" s="3" t="inlineStr">
        <is>
          <t>GPO462,463,464</t>
        </is>
      </c>
      <c r="E18" s="33" t="n">
        <v>11599.57</v>
      </c>
      <c r="F18" s="7" t="n">
        <v>1453.6</v>
      </c>
      <c r="G18" s="33" t="n">
        <v>20</v>
      </c>
      <c r="H18" s="9" t="n">
        <v>10000</v>
      </c>
      <c r="I18" s="9" t="n">
        <v>8000</v>
      </c>
      <c r="J18" s="9" t="n">
        <v>16908206</v>
      </c>
      <c r="K18" s="9">
        <f>ROUND((E18+G18)*F18+H18+I18,0)</f>
        <v/>
      </c>
      <c r="L18" s="35">
        <f>J18-K18</f>
        <v/>
      </c>
      <c r="M18" s="115" t="n"/>
    </row>
    <row r="19" ht="15.75" customHeight="1">
      <c r="A19" s="3" t="n">
        <v>17</v>
      </c>
      <c r="B19" s="3" t="inlineStr">
        <is>
          <t>2026.02.11</t>
        </is>
      </c>
      <c r="C19" s="4" t="inlineStr">
        <is>
          <t>Christie</t>
        </is>
      </c>
      <c r="D19" s="3" t="inlineStr">
        <is>
          <t>CPO681</t>
        </is>
      </c>
      <c r="E19" s="33" t="n">
        <v>26358</v>
      </c>
      <c r="F19" s="7" t="n">
        <v>1460.7</v>
      </c>
      <c r="G19" s="33" t="n">
        <v>20</v>
      </c>
      <c r="H19" s="9" t="n">
        <v>12500</v>
      </c>
      <c r="I19" s="9" t="n">
        <v>8000</v>
      </c>
      <c r="J19" s="9" t="n">
        <v>38550844</v>
      </c>
      <c r="K19" s="9">
        <f>ROUND((E19+G19)*F19+H19+I19,0)</f>
        <v/>
      </c>
      <c r="L19" s="35">
        <f>J19-K19</f>
        <v/>
      </c>
      <c r="M19" s="115" t="n"/>
    </row>
    <row r="20" ht="15.75" customHeight="1">
      <c r="A20" s="3" t="n">
        <v>18</v>
      </c>
      <c r="B20" s="3" t="inlineStr">
        <is>
          <t>2026.02.19</t>
        </is>
      </c>
      <c r="C20" s="4" t="inlineStr">
        <is>
          <t>Christie</t>
        </is>
      </c>
      <c r="D20" s="3" t="inlineStr">
        <is>
          <t>CPO686,CPO689</t>
        </is>
      </c>
      <c r="E20" s="33" t="n">
        <v>17538</v>
      </c>
      <c r="F20" s="7" t="n">
        <v>1451.7</v>
      </c>
      <c r="G20" s="33" t="n">
        <v>20</v>
      </c>
      <c r="H20" s="9" t="n">
        <v>10000</v>
      </c>
      <c r="I20" s="9" t="n">
        <v>8000</v>
      </c>
      <c r="J20" s="9" t="n">
        <v>25506948</v>
      </c>
      <c r="K20" s="9">
        <f>ROUND((E20+G20)*F20+H20+I20,0)</f>
        <v/>
      </c>
      <c r="L20" s="35">
        <f>J20-K20</f>
        <v/>
      </c>
      <c r="M20" s="115" t="n"/>
    </row>
    <row r="21" ht="15.75" customHeight="1">
      <c r="A21" s="3" t="n">
        <v>19</v>
      </c>
      <c r="B21" s="3" t="inlineStr">
        <is>
          <t>2026.02.27</t>
        </is>
      </c>
      <c r="C21" s="4" t="inlineStr">
        <is>
          <t>Christie</t>
        </is>
      </c>
      <c r="D21" s="3" t="inlineStr">
        <is>
          <t>CPO685,667</t>
        </is>
      </c>
      <c r="E21" s="33" t="n">
        <v>142189</v>
      </c>
      <c r="F21" s="7" t="n">
        <v>1441.6</v>
      </c>
      <c r="G21" s="33" t="n">
        <v>20</v>
      </c>
      <c r="H21" s="9" t="n">
        <v>12500</v>
      </c>
      <c r="I21" s="9" t="n">
        <v>8000</v>
      </c>
      <c r="J21" s="9" t="n">
        <v>205028994</v>
      </c>
      <c r="K21" s="9">
        <f>ROUND((E21+G21)*F21+H21+I21,0)</f>
        <v/>
      </c>
      <c r="L21" s="35">
        <f>J21-K21</f>
        <v/>
      </c>
      <c r="M21" s="115" t="n"/>
    </row>
    <row r="22" ht="15.75" customHeight="1">
      <c r="A22" s="3" t="n">
        <v>20</v>
      </c>
      <c r="B22" s="3" t="inlineStr">
        <is>
          <t>2026.03.06</t>
        </is>
      </c>
      <c r="C22" s="4" t="inlineStr">
        <is>
          <t>Christie</t>
        </is>
      </c>
      <c r="D22" s="3" t="inlineStr">
        <is>
          <t>CPO678-2</t>
        </is>
      </c>
      <c r="E22" s="33" t="n">
        <v>137850</v>
      </c>
      <c r="F22" s="7" t="n">
        <v>1477.6</v>
      </c>
      <c r="G22" s="33" t="n">
        <v>20</v>
      </c>
      <c r="H22" s="9" t="n">
        <v>12500</v>
      </c>
      <c r="I22" s="9" t="n">
        <v>8000</v>
      </c>
      <c r="J22" s="9" t="n">
        <v>203737212</v>
      </c>
      <c r="K22" s="9">
        <f>ROUND((E22+G22)*F22+H22+I22,0)</f>
        <v/>
      </c>
      <c r="L22" s="35">
        <f>J22-K22</f>
        <v/>
      </c>
      <c r="M22" s="115" t="n"/>
    </row>
    <row r="23" ht="15.75" customHeight="1">
      <c r="A23" s="3" t="n">
        <v>21</v>
      </c>
      <c r="B23" s="3" t="inlineStr">
        <is>
          <t>2026.04.01</t>
        </is>
      </c>
      <c r="C23" s="4" t="inlineStr">
        <is>
          <t>Christie</t>
        </is>
      </c>
      <c r="D23" s="3" t="inlineStr">
        <is>
          <t>CPO690,691</t>
        </is>
      </c>
      <c r="E23" s="33" t="n">
        <v>34354</v>
      </c>
      <c r="F23" s="7" t="n">
        <v>1505.7</v>
      </c>
      <c r="G23" s="33" t="n">
        <v>20</v>
      </c>
      <c r="H23" s="9" t="n">
        <v>12500</v>
      </c>
      <c r="I23" s="9" t="n">
        <v>8000</v>
      </c>
      <c r="J23" s="9" t="n">
        <v>51777431</v>
      </c>
      <c r="K23" s="9">
        <f>ROUND((E23+G23)*F23+H23+I23,0)</f>
        <v/>
      </c>
      <c r="L23" s="35">
        <f>J23-K23</f>
        <v/>
      </c>
      <c r="M23" s="115" t="n"/>
    </row>
    <row r="24" ht="15.75" customHeight="1">
      <c r="A24" s="3" t="n">
        <v>22</v>
      </c>
      <c r="B24" s="3" t="inlineStr">
        <is>
          <t>2026.04.01</t>
        </is>
      </c>
      <c r="C24" s="4" t="inlineStr">
        <is>
          <t>GDC</t>
        </is>
      </c>
      <c r="D24" s="3" t="inlineStr">
        <is>
          <t>GPO469,467,470,471</t>
        </is>
      </c>
      <c r="E24" s="33" t="n">
        <v>6553.05</v>
      </c>
      <c r="F24" s="7" t="n">
        <v>1506.4</v>
      </c>
      <c r="G24" s="33" t="n">
        <v>20</v>
      </c>
      <c r="H24" s="9" t="n">
        <v>10000</v>
      </c>
      <c r="I24" s="9" t="n">
        <v>8000</v>
      </c>
      <c r="J24" s="9" t="n">
        <v>9919642</v>
      </c>
      <c r="K24" s="9">
        <f>ROUND((E24+G24)*F24+H24+I24,0)</f>
        <v/>
      </c>
      <c r="L24" s="35">
        <f>J24-K24</f>
        <v/>
      </c>
      <c r="M24" s="115" t="n"/>
    </row>
    <row r="25" ht="15.75" customHeight="1">
      <c r="A25" s="3" t="n">
        <v>23</v>
      </c>
      <c r="B25" s="3" t="inlineStr">
        <is>
          <t>2026.04.14</t>
        </is>
      </c>
      <c r="C25" s="4" t="inlineStr">
        <is>
          <t>GDC</t>
        </is>
      </c>
      <c r="D25" s="3" t="inlineStr">
        <is>
          <t>GPO468-1, 472, 468-2</t>
        </is>
      </c>
      <c r="E25" s="33" t="n">
        <v>57650</v>
      </c>
      <c r="F25" s="7" t="n">
        <v>1481.9</v>
      </c>
      <c r="G25" s="33" t="n">
        <v>20</v>
      </c>
      <c r="H25" s="9" t="n">
        <v>12500</v>
      </c>
      <c r="I25" s="9" t="n">
        <v>8000</v>
      </c>
      <c r="J25" s="9" t="n">
        <v>85481673</v>
      </c>
      <c r="K25" s="9">
        <f>ROUND((E25+G25)*F25+H25+I25,0)</f>
        <v/>
      </c>
      <c r="L25" s="35">
        <f>J25-K25</f>
        <v/>
      </c>
      <c r="M25" s="115" t="n"/>
    </row>
    <row r="26" ht="15.75" customHeight="1">
      <c r="A26" s="96" t="n">
        <v>24</v>
      </c>
      <c r="B26" s="96" t="inlineStr">
        <is>
          <t>2026.04.21</t>
        </is>
      </c>
      <c r="C26" s="97" t="inlineStr">
        <is>
          <t>Ferco</t>
        </is>
      </c>
      <c r="D26" s="96" t="inlineStr">
        <is>
          <t>MONOPLEX20260126-01</t>
        </is>
      </c>
      <c r="E26" s="98" t="n">
        <v>25976</v>
      </c>
      <c r="F26" s="196" t="n">
        <v>1473.3</v>
      </c>
      <c r="G26" s="98" t="n">
        <v>20</v>
      </c>
      <c r="H26" s="99" t="n">
        <v>12500</v>
      </c>
      <c r="I26" s="99" t="n">
        <v>8000</v>
      </c>
      <c r="J26" s="99" t="n">
        <v>38320406</v>
      </c>
      <c r="K26" s="99">
        <f>ROUND((E26+G26)*F26+H26+I26,0)</f>
        <v/>
      </c>
      <c r="L26" s="100">
        <f>J26-K26</f>
        <v/>
      </c>
      <c r="M26" s="115" t="n"/>
    </row>
    <row r="27" ht="15.75" customHeight="1">
      <c r="A27" s="96" t="n">
        <v>25</v>
      </c>
      <c r="B27" s="96" t="inlineStr">
        <is>
          <t>2026.04.22</t>
        </is>
      </c>
      <c r="C27" s="97" t="inlineStr">
        <is>
          <t>Christie</t>
        </is>
      </c>
      <c r="D27" s="96" t="inlineStr">
        <is>
          <t>CPO692(692-1, 692-2)</t>
        </is>
      </c>
      <c r="E27" s="98" t="n">
        <v>297580</v>
      </c>
      <c r="F27" s="196" t="n">
        <v>1482.8</v>
      </c>
      <c r="G27" s="98" t="n">
        <v>20</v>
      </c>
      <c r="H27" s="99" t="n">
        <v>12500</v>
      </c>
      <c r="I27" s="99" t="n">
        <v>8000</v>
      </c>
      <c r="J27" s="99" t="n">
        <v>441301780</v>
      </c>
      <c r="K27" s="99">
        <f>ROUND((E27+G27)*F27+H27+I27,0)</f>
        <v/>
      </c>
      <c r="L27" s="100">
        <f>J27-K27</f>
        <v/>
      </c>
      <c r="M27" s="115" t="n"/>
    </row>
    <row r="28" ht="15.75" customHeight="1">
      <c r="A28" s="96" t="n">
        <v>26</v>
      </c>
      <c r="B28" s="96" t="inlineStr">
        <is>
          <t>2026.04.22</t>
        </is>
      </c>
      <c r="C28" s="97" t="inlineStr">
        <is>
          <t>MAICO Italia (EUR)</t>
        </is>
      </c>
      <c r="D28" s="96" t="inlineStr">
        <is>
          <t>EPO18</t>
        </is>
      </c>
      <c r="E28" s="98" t="n">
        <v>4388.4</v>
      </c>
      <c r="F28" s="196" t="n">
        <v>1741.08</v>
      </c>
      <c r="G28" s="98" t="n">
        <v>25</v>
      </c>
      <c r="H28" s="99" t="n">
        <v>10000</v>
      </c>
      <c r="I28" s="99" t="n">
        <v>8000</v>
      </c>
      <c r="J28" s="99" t="n">
        <v>7702082</v>
      </c>
      <c r="K28" s="99">
        <f>ROUND((E28+G28)*F28+H28+I28,0)</f>
        <v/>
      </c>
      <c r="L28" s="100">
        <f>J28-K28</f>
        <v/>
      </c>
      <c r="M28" s="115" t="n"/>
    </row>
    <row r="29" ht="15.75" customHeight="1">
      <c r="A29" s="116" t="n">
        <v>27</v>
      </c>
      <c r="B29" s="116" t="inlineStr">
        <is>
          <t>2026.05.04</t>
        </is>
      </c>
      <c r="C29" s="117" t="inlineStr">
        <is>
          <t>Christie</t>
        </is>
      </c>
      <c r="D29" s="116" t="inlineStr">
        <is>
          <t>CPO694, CPO695-1, CPO695-2</t>
        </is>
      </c>
      <c r="E29" s="118" t="n">
        <v>21439</v>
      </c>
      <c r="F29" s="197" t="n">
        <v>1474.9</v>
      </c>
      <c r="G29" s="118" t="n">
        <v>20</v>
      </c>
      <c r="H29" s="120" t="n">
        <v>12500</v>
      </c>
      <c r="I29" s="120" t="n">
        <v>8000</v>
      </c>
      <c r="J29" s="120" t="n">
        <v>31670379</v>
      </c>
      <c r="K29" s="120">
        <f>ROUND((E29+G29)*F29+H29+I29,0)</f>
        <v/>
      </c>
      <c r="L29" s="121">
        <f>J29-K29</f>
        <v/>
      </c>
      <c r="M29" s="114" t="n"/>
    </row>
    <row r="30" ht="15.75" customHeight="1">
      <c r="A30" s="116" t="n">
        <v>28</v>
      </c>
      <c r="B30" s="116" t="inlineStr">
        <is>
          <t>2026.05.04</t>
        </is>
      </c>
      <c r="C30" s="117" t="inlineStr">
        <is>
          <t>Integ Process Group</t>
        </is>
      </c>
      <c r="D30" s="116" t="inlineStr">
        <is>
          <t>IPO016 (JNR-410)</t>
        </is>
      </c>
      <c r="E30" s="118" t="n">
        <v>6800</v>
      </c>
      <c r="F30" s="197" t="n">
        <v>1475.2</v>
      </c>
      <c r="G30" s="118" t="n">
        <v>20</v>
      </c>
      <c r="H30" s="120" t="n">
        <v>10000</v>
      </c>
      <c r="I30" s="120" t="n">
        <v>8000</v>
      </c>
      <c r="J30" s="120" t="n">
        <v>10078864</v>
      </c>
      <c r="K30" s="120">
        <f>ROUND((E30+G30)*F30+H30+I30,0)</f>
        <v/>
      </c>
      <c r="L30" s="121">
        <f>J30-K30</f>
        <v/>
      </c>
      <c r="M30" s="114" t="n"/>
    </row>
    <row r="31" ht="15.75" customHeight="1">
      <c r="A31" s="116" t="n">
        <v>29</v>
      </c>
      <c r="B31" s="116" t="inlineStr">
        <is>
          <t>2026.05.12</t>
        </is>
      </c>
      <c r="C31" s="117" t="inlineStr">
        <is>
          <t>Ferco</t>
        </is>
      </c>
      <c r="D31" s="116" t="inlineStr">
        <is>
          <t>PI44133-1</t>
        </is>
      </c>
      <c r="E31" s="118" t="n">
        <v>4416</v>
      </c>
      <c r="F31" s="197" t="n">
        <v>1755.24</v>
      </c>
      <c r="G31" s="118" t="n">
        <v>25</v>
      </c>
      <c r="H31" s="120" t="n">
        <v>10000</v>
      </c>
      <c r="I31" s="120" t="n">
        <v>8000</v>
      </c>
      <c r="J31" s="120" t="n">
        <v>7813020</v>
      </c>
      <c r="K31" s="120">
        <f>ROUND((E31+G31)*F31+H31+I31,0)</f>
        <v/>
      </c>
      <c r="L31" s="121">
        <f>J31-K31</f>
        <v/>
      </c>
    </row>
    <row r="32" ht="15.75" customHeight="1">
      <c r="A32" s="116" t="n">
        <v>30</v>
      </c>
      <c r="B32" s="116" t="inlineStr">
        <is>
          <t>2026.05.19</t>
        </is>
      </c>
      <c r="C32" s="117" t="inlineStr">
        <is>
          <t>GDC</t>
        </is>
      </c>
      <c r="D32" s="116" t="inlineStr">
        <is>
          <t>GPO478</t>
        </is>
      </c>
      <c r="E32" s="118" t="n">
        <v>180</v>
      </c>
      <c r="F32" s="197" t="n">
        <v>1518.9</v>
      </c>
      <c r="G32" s="118" t="n">
        <v>20</v>
      </c>
      <c r="H32" s="120" t="n">
        <v>2500</v>
      </c>
      <c r="I32" s="120" t="n">
        <v>8000</v>
      </c>
      <c r="J32" s="120" t="n">
        <v>314280</v>
      </c>
      <c r="K32" s="120">
        <f>ROUND((E32+G32)*F32+H32+I32,0)</f>
        <v/>
      </c>
      <c r="L32" s="121">
        <f>J32-K32</f>
        <v/>
      </c>
    </row>
    <row r="33" ht="15.75" customHeight="1">
      <c r="A33" s="116" t="n">
        <v>31</v>
      </c>
      <c r="B33" s="116" t="inlineStr">
        <is>
          <t>2026.05.20</t>
        </is>
      </c>
      <c r="C33" s="117" t="inlineStr">
        <is>
          <t>Christie</t>
        </is>
      </c>
      <c r="D33" s="116" t="inlineStr">
        <is>
          <t>CPO698</t>
        </is>
      </c>
      <c r="E33" s="118" t="n">
        <v>4290</v>
      </c>
      <c r="F33" s="197" t="n">
        <v>1510.6</v>
      </c>
      <c r="G33" s="118" t="n">
        <v>20</v>
      </c>
      <c r="H33" s="120" t="n">
        <v>7500</v>
      </c>
      <c r="I33" s="120" t="n">
        <v>8000</v>
      </c>
      <c r="J33" s="120" t="n">
        <v>6526186</v>
      </c>
      <c r="K33" s="120">
        <f>ROUND((E33+G33)*F33+H33+I33,0)</f>
        <v/>
      </c>
      <c r="L33" s="121">
        <f>J33-K33</f>
        <v/>
      </c>
    </row>
    <row r="34" ht="15.75" customHeight="1">
      <c r="A34" s="116" t="n">
        <v>32</v>
      </c>
      <c r="B34" s="116" t="inlineStr">
        <is>
          <t>2026.05.29</t>
        </is>
      </c>
      <c r="C34" s="117" t="inlineStr">
        <is>
          <t>GDC</t>
        </is>
      </c>
      <c r="D34" s="116" t="inlineStr">
        <is>
          <t>GPO480, GPO479, GPO473-1</t>
        </is>
      </c>
      <c r="E34" s="118" t="n">
        <v>99140</v>
      </c>
      <c r="F34" s="197" t="n">
        <v>1502.8</v>
      </c>
      <c r="G34" s="118" t="n">
        <v>20</v>
      </c>
      <c r="H34" s="120" t="n">
        <v>12500</v>
      </c>
      <c r="I34" s="120" t="n">
        <v>8000</v>
      </c>
      <c r="J34" s="120" t="n">
        <v>149038148</v>
      </c>
      <c r="K34" s="120">
        <f>ROUND((E34+G34)*F34+H34+I34,0)</f>
        <v/>
      </c>
      <c r="L34" s="121">
        <f>J34-K34</f>
        <v/>
      </c>
    </row>
    <row r="35" ht="15.75" customHeight="1">
      <c r="A35" s="116" t="n">
        <v>33</v>
      </c>
      <c r="B35" s="116" t="inlineStr">
        <is>
          <t>2026.05.29</t>
        </is>
      </c>
      <c r="C35" s="117" t="inlineStr">
        <is>
          <t>Christie</t>
        </is>
      </c>
      <c r="D35" s="116" t="inlineStr">
        <is>
          <t>CPO697, CPO696-1, CPO696-2</t>
        </is>
      </c>
      <c r="E35" s="118" t="n">
        <v>101638</v>
      </c>
      <c r="F35" s="197" t="n">
        <v>1502.7</v>
      </c>
      <c r="G35" s="118" t="n">
        <v>20</v>
      </c>
      <c r="H35" s="120" t="n">
        <v>12500</v>
      </c>
      <c r="I35" s="120" t="n">
        <v>8000</v>
      </c>
      <c r="J35" s="120" t="n">
        <v>152781976</v>
      </c>
      <c r="K35" s="120">
        <f>ROUND((E35+G35)*F35+H35+I35,0)</f>
        <v/>
      </c>
      <c r="L35" s="121">
        <f>J35-K35</f>
        <v/>
      </c>
    </row>
    <row r="36" ht="15.75" customHeight="1">
      <c r="A36" s="234" t="n">
        <v>34</v>
      </c>
      <c r="B36" s="234" t="inlineStr">
        <is>
          <t>2026.06.10</t>
        </is>
      </c>
      <c r="C36" s="235" t="inlineStr">
        <is>
          <t>GDC</t>
        </is>
      </c>
      <c r="D36" s="234" t="inlineStr">
        <is>
          <t>GPO481, GPO473-2, GPO473-3</t>
        </is>
      </c>
      <c r="E36" s="236" t="n">
        <v>119060</v>
      </c>
      <c r="F36" s="237" t="n">
        <v>1525.3</v>
      </c>
      <c r="G36" s="236" t="n">
        <v>20</v>
      </c>
      <c r="H36" s="238" t="n">
        <v>12500</v>
      </c>
      <c r="I36" s="238" t="n">
        <v>8000</v>
      </c>
      <c r="J36" s="238" t="n">
        <v>181653224</v>
      </c>
      <c r="K36" s="238">
        <f>ROUND((E36+G36)*F36+H36+I36,0)</f>
        <v/>
      </c>
      <c r="L36" s="239">
        <f>J36-K36</f>
        <v/>
      </c>
    </row>
    <row r="37" ht="15.75" customHeight="1">
      <c r="A37" s="234" t="n">
        <v>35</v>
      </c>
      <c r="B37" s="234" t="inlineStr">
        <is>
          <t>2026.06.17</t>
        </is>
      </c>
      <c r="C37" s="235" t="inlineStr">
        <is>
          <t>Christie</t>
        </is>
      </c>
      <c r="D37" s="234" t="inlineStr">
        <is>
          <t>CPO696-3</t>
        </is>
      </c>
      <c r="E37" s="236" t="n">
        <v>351274</v>
      </c>
      <c r="F37" s="237" t="n">
        <v>1518</v>
      </c>
      <c r="G37" s="236" t="n">
        <v>20</v>
      </c>
      <c r="H37" s="238" t="n">
        <v>12500</v>
      </c>
      <c r="I37" s="238" t="n">
        <v>8000</v>
      </c>
      <c r="J37" s="238" t="n">
        <v>533284792</v>
      </c>
      <c r="K37" s="238">
        <f>ROUND((E37+G37)*F37+H37+I37,0)</f>
        <v/>
      </c>
      <c r="L37" s="239">
        <f>J37-K37</f>
        <v/>
      </c>
    </row>
    <row r="38" ht="15.75" customHeight="1">
      <c r="A38" s="234" t="n">
        <v>36</v>
      </c>
      <c r="B38" s="234" t="inlineStr">
        <is>
          <t>2026.06.17</t>
        </is>
      </c>
      <c r="C38" s="235" t="inlineStr">
        <is>
          <t>Appotronics</t>
        </is>
      </c>
      <c r="D38" s="234" t="inlineStr">
        <is>
          <t>APO001 (S20-C2220-BEAB)</t>
        </is>
      </c>
      <c r="E38" s="236" t="n">
        <v>12400</v>
      </c>
      <c r="F38" s="237" t="n">
        <v>1517.1</v>
      </c>
      <c r="G38" s="236" t="n">
        <v>20</v>
      </c>
      <c r="H38" s="238" t="n">
        <v>10000</v>
      </c>
      <c r="I38" s="238" t="n">
        <v>8000</v>
      </c>
      <c r="J38" s="238" t="n">
        <v>18860382</v>
      </c>
      <c r="K38" s="238">
        <f>ROUND((E38+G38)*F38+H38+I38,0)</f>
        <v/>
      </c>
      <c r="L38" s="239">
        <f>J38-K38</f>
        <v/>
      </c>
    </row>
    <row r="39" ht="15.75" customHeight="1">
      <c r="A39" s="234" t="n">
        <v>37</v>
      </c>
      <c r="B39" s="234" t="inlineStr">
        <is>
          <t>2026.06.17</t>
        </is>
      </c>
      <c r="C39" s="235" t="inlineStr">
        <is>
          <t>MMK Europe</t>
        </is>
      </c>
      <c r="D39" s="234" t="inlineStr">
        <is>
          <t>MPO67, MPO68</t>
        </is>
      </c>
      <c r="E39" s="236" t="n">
        <v>60726</v>
      </c>
      <c r="F39" s="237" t="n">
        <v>1517.3</v>
      </c>
      <c r="G39" s="236" t="n">
        <v>20</v>
      </c>
      <c r="H39" s="238" t="n">
        <v>12500</v>
      </c>
      <c r="I39" s="238" t="n">
        <v>8000</v>
      </c>
      <c r="J39" s="238" t="n">
        <v>92190405</v>
      </c>
      <c r="K39" s="238">
        <f>ROUND((E39+G39)*F39+H39+I39,0)</f>
        <v/>
      </c>
      <c r="L39" s="239">
        <f>J39-K39</f>
        <v/>
      </c>
    </row>
    <row r="40" ht="15.75" customHeight="1">
      <c r="A40" s="234" t="n">
        <v>38</v>
      </c>
      <c r="B40" s="234" t="inlineStr">
        <is>
          <t>2026.06.17</t>
        </is>
      </c>
      <c r="C40" s="235" t="inlineStr">
        <is>
          <t>GDC</t>
        </is>
      </c>
      <c r="D40" s="234" t="inlineStr">
        <is>
          <t>GPO475, SR-1000수리</t>
        </is>
      </c>
      <c r="E40" s="236" t="n">
        <v>2040</v>
      </c>
      <c r="F40" s="237" t="n">
        <v>1516.8</v>
      </c>
      <c r="G40" s="236" t="n">
        <v>20</v>
      </c>
      <c r="H40" s="238" t="n">
        <v>7500</v>
      </c>
      <c r="I40" s="238" t="n">
        <v>8000</v>
      </c>
      <c r="J40" s="238" t="n">
        <v>3140108</v>
      </c>
      <c r="K40" s="238">
        <f>ROUND((E40+G40)*F40+H40+I40,0)</f>
        <v/>
      </c>
      <c r="L40" s="239">
        <f>J40-K40</f>
        <v/>
      </c>
    </row>
    <row r="41" ht="15.75" customHeight="1">
      <c r="A41" s="169" t="inlineStr">
        <is>
          <t>② PO별 비용 안분 내역</t>
        </is>
      </c>
      <c r="B41" s="148" t="n"/>
      <c r="C41" s="148" t="n"/>
      <c r="D41" s="148" t="n"/>
      <c r="E41" s="148" t="n"/>
      <c r="F41" s="148" t="n"/>
      <c r="G41" s="148" t="n"/>
      <c r="H41" s="148" t="n"/>
      <c r="I41" s="148" t="n"/>
      <c r="J41" s="148" t="n"/>
      <c r="K41" s="148" t="n"/>
      <c r="L41" s="149" t="n"/>
      <c r="M41" s="115" t="n"/>
    </row>
    <row r="42" ht="15.75" customHeight="1">
      <c r="A42" s="150" t="inlineStr">
        <is>
          <t>PO No.</t>
        </is>
      </c>
      <c r="B42" s="150" t="inlineStr">
        <is>
          <t>송금일</t>
        </is>
      </c>
      <c r="C42" s="150" t="inlineStr">
        <is>
          <t>업체</t>
        </is>
      </c>
      <c r="D42" s="150" t="inlineStr">
        <is>
          <t>PO USD</t>
        </is>
      </c>
      <c r="E42" s="150" t="inlineStr">
        <is>
          <t>그룹총USD</t>
        </is>
      </c>
      <c r="F42" s="150" t="inlineStr">
        <is>
          <t>배부비율</t>
        </is>
      </c>
      <c r="G42" s="150" t="inlineStr">
        <is>
          <t>적용환율</t>
        </is>
      </c>
      <c r="H42" s="150" t="inlineStr">
        <is>
          <t>원화환산액</t>
        </is>
      </c>
      <c r="I42" s="150" t="inlineStr">
        <is>
          <t>중개수수료안분</t>
        </is>
      </c>
      <c r="J42" s="150" t="inlineStr">
        <is>
          <t>수수료안분</t>
        </is>
      </c>
      <c r="K42" s="150" t="inlineStr">
        <is>
          <t>전신료안분</t>
        </is>
      </c>
      <c r="L42" s="150" t="inlineStr">
        <is>
          <t>합계</t>
        </is>
      </c>
      <c r="M42" s="115" t="n"/>
    </row>
    <row r="43" ht="15.75" customHeight="1">
      <c r="A43" s="116" t="inlineStr">
        <is>
          <t>CPO678-1</t>
        </is>
      </c>
      <c r="B43" s="116" t="inlineStr">
        <is>
          <t>2025.12.16</t>
        </is>
      </c>
      <c r="C43" s="117" t="inlineStr">
        <is>
          <t>Christie</t>
        </is>
      </c>
      <c r="D43" s="118" t="n">
        <v>139083</v>
      </c>
      <c r="E43" s="118" t="n">
        <v>143557</v>
      </c>
      <c r="F43" s="122" t="n">
        <v>0.968835</v>
      </c>
      <c r="G43" s="118" t="n">
        <v>1479.7</v>
      </c>
      <c r="H43" s="120" t="n">
        <v>205801115</v>
      </c>
      <c r="I43" s="120" t="n">
        <v>28672</v>
      </c>
      <c r="J43" s="120" t="n">
        <v>12110</v>
      </c>
      <c r="K43" s="120" t="n">
        <v>7751</v>
      </c>
      <c r="L43" s="121" t="n">
        <v>205849648</v>
      </c>
      <c r="M43" s="115" t="n"/>
    </row>
    <row r="44" ht="15.75" customHeight="1">
      <c r="A44" s="116" t="inlineStr">
        <is>
          <t>CPO679</t>
        </is>
      </c>
      <c r="B44" s="116" t="inlineStr">
        <is>
          <t>2025.12.16</t>
        </is>
      </c>
      <c r="C44" s="117" t="inlineStr">
        <is>
          <t>Christie</t>
        </is>
      </c>
      <c r="D44" s="118" t="n">
        <v>4474</v>
      </c>
      <c r="E44" s="118" t="n">
        <v>143557</v>
      </c>
      <c r="F44" s="122" t="n">
        <v>0.031165</v>
      </c>
      <c r="G44" s="118" t="n">
        <v>1479.7</v>
      </c>
      <c r="H44" s="120" t="n">
        <v>6620178</v>
      </c>
      <c r="I44" s="120" t="n">
        <v>922</v>
      </c>
      <c r="J44" s="120" t="n">
        <v>390</v>
      </c>
      <c r="K44" s="120" t="n">
        <v>249</v>
      </c>
      <c r="L44" s="121" t="n">
        <v>6621739</v>
      </c>
      <c r="M44" s="115" t="n"/>
    </row>
    <row r="45" ht="15.75" customHeight="1">
      <c r="A45" s="116" t="inlineStr">
        <is>
          <t>MPO65</t>
        </is>
      </c>
      <c r="B45" s="116" t="inlineStr">
        <is>
          <t>2025.12.16</t>
        </is>
      </c>
      <c r="C45" s="117" t="inlineStr">
        <is>
          <t>MAG</t>
        </is>
      </c>
      <c r="D45" s="118" t="n">
        <v>4936</v>
      </c>
      <c r="E45" s="118" t="n">
        <v>15040</v>
      </c>
      <c r="F45" s="122" t="n">
        <v>0.328191</v>
      </c>
      <c r="G45" s="118" t="n">
        <v>1480</v>
      </c>
      <c r="H45" s="120" t="n">
        <v>7305280</v>
      </c>
      <c r="I45" s="120" t="n">
        <v>9714</v>
      </c>
      <c r="J45" s="120" t="n">
        <v>3282</v>
      </c>
      <c r="K45" s="120" t="n">
        <v>2626</v>
      </c>
      <c r="L45" s="121" t="n">
        <v>7320902</v>
      </c>
      <c r="M45" s="115" t="n"/>
    </row>
    <row r="46" ht="15.75" customHeight="1">
      <c r="A46" s="116" t="inlineStr">
        <is>
          <t>GPO451</t>
        </is>
      </c>
      <c r="B46" s="116" t="inlineStr">
        <is>
          <t>2025.12.29</t>
        </is>
      </c>
      <c r="C46" s="117" t="inlineStr">
        <is>
          <t>GDC</t>
        </is>
      </c>
      <c r="D46" s="118" t="n">
        <v>9060</v>
      </c>
      <c r="E46" s="118" t="n">
        <v>13860</v>
      </c>
      <c r="F46" s="122" t="n">
        <v>0.65368</v>
      </c>
      <c r="G46" s="118" t="n">
        <v>1439.1</v>
      </c>
      <c r="H46" s="120" t="n">
        <v>13038246</v>
      </c>
      <c r="I46" s="120" t="n">
        <v>18814</v>
      </c>
      <c r="J46" s="120" t="n">
        <v>6537</v>
      </c>
      <c r="K46" s="120" t="n">
        <v>5229</v>
      </c>
      <c r="L46" s="121" t="n">
        <v>13068826</v>
      </c>
      <c r="M46" s="115" t="n"/>
    </row>
    <row r="47" ht="15.75" customHeight="1">
      <c r="A47" s="116" t="inlineStr">
        <is>
          <t>GPO458</t>
        </is>
      </c>
      <c r="B47" s="116" t="inlineStr">
        <is>
          <t>2025.12.29</t>
        </is>
      </c>
      <c r="C47" s="117" t="inlineStr">
        <is>
          <t>GDC</t>
        </is>
      </c>
      <c r="D47" s="118" t="n">
        <v>350</v>
      </c>
      <c r="E47" s="118" t="n">
        <v>13860</v>
      </c>
      <c r="F47" s="122" t="n">
        <v>0.025253</v>
      </c>
      <c r="G47" s="118" t="n">
        <v>1439.1</v>
      </c>
      <c r="H47" s="120" t="n">
        <v>503685</v>
      </c>
      <c r="I47" s="120" t="n">
        <v>727</v>
      </c>
      <c r="J47" s="120" t="n">
        <v>253</v>
      </c>
      <c r="K47" s="120" t="n">
        <v>202</v>
      </c>
      <c r="L47" s="121" t="n">
        <v>504867</v>
      </c>
      <c r="M47" s="115" t="n"/>
    </row>
    <row r="48" ht="15.75" customHeight="1">
      <c r="A48" s="116" t="inlineStr">
        <is>
          <t>CPO680</t>
        </is>
      </c>
      <c r="B48" s="116" t="inlineStr">
        <is>
          <t>2026.01.13</t>
        </is>
      </c>
      <c r="C48" s="117" t="inlineStr">
        <is>
          <t>Christie</t>
        </is>
      </c>
      <c r="D48" s="118" t="n">
        <v>252</v>
      </c>
      <c r="E48" s="118" t="n">
        <v>252</v>
      </c>
      <c r="F48" s="122" t="n">
        <v>1</v>
      </c>
      <c r="G48" s="118" t="n">
        <v>1479</v>
      </c>
      <c r="H48" s="120" t="n">
        <v>372708</v>
      </c>
      <c r="I48" s="120" t="n">
        <v>29580</v>
      </c>
      <c r="J48" s="120" t="n">
        <v>2500</v>
      </c>
      <c r="K48" s="120" t="n">
        <v>8000</v>
      </c>
      <c r="L48" s="121" t="n">
        <v>412788</v>
      </c>
      <c r="M48" s="115" t="n"/>
    </row>
    <row r="49" ht="15.75" customHeight="1">
      <c r="A49" s="116" t="inlineStr">
        <is>
          <t>GPO459</t>
        </is>
      </c>
      <c r="B49" s="116" t="inlineStr">
        <is>
          <t>2026.01.21</t>
        </is>
      </c>
      <c r="C49" s="117" t="inlineStr">
        <is>
          <t>GDC</t>
        </is>
      </c>
      <c r="D49" s="118" t="n">
        <v>450</v>
      </c>
      <c r="E49" s="118" t="n">
        <v>3700</v>
      </c>
      <c r="F49" s="122" t="n">
        <v>0.121622</v>
      </c>
      <c r="G49" s="118" t="n">
        <v>1475.7</v>
      </c>
      <c r="H49" s="120" t="n">
        <v>664065</v>
      </c>
      <c r="I49" s="120" t="n">
        <v>3590</v>
      </c>
      <c r="J49" s="120" t="n">
        <v>912</v>
      </c>
      <c r="K49" s="120" t="n">
        <v>973</v>
      </c>
      <c r="L49" s="121" t="n">
        <v>669540</v>
      </c>
      <c r="M49" s="115" t="n"/>
    </row>
    <row r="50" ht="15.75" customHeight="1">
      <c r="A50" s="116" t="inlineStr">
        <is>
          <t>GPO460</t>
        </is>
      </c>
      <c r="B50" s="116" t="inlineStr">
        <is>
          <t>2026.01.21</t>
        </is>
      </c>
      <c r="C50" s="117" t="inlineStr">
        <is>
          <t>GDC</t>
        </is>
      </c>
      <c r="D50" s="118" t="n">
        <v>2710</v>
      </c>
      <c r="E50" s="118" t="n">
        <v>3700</v>
      </c>
      <c r="F50" s="122" t="n">
        <v>0.732432</v>
      </c>
      <c r="G50" s="118" t="n">
        <v>1475.7</v>
      </c>
      <c r="H50" s="120" t="n">
        <v>3999147</v>
      </c>
      <c r="I50" s="120" t="n">
        <v>21617</v>
      </c>
      <c r="J50" s="120" t="n">
        <v>5493</v>
      </c>
      <c r="K50" s="120" t="n">
        <v>5859</v>
      </c>
      <c r="L50" s="121" t="n">
        <v>4032116</v>
      </c>
      <c r="M50" s="115" t="n"/>
    </row>
    <row r="51" ht="15.75" customHeight="1">
      <c r="A51" s="116" t="inlineStr">
        <is>
          <t>GPO461</t>
        </is>
      </c>
      <c r="B51" s="116" t="inlineStr">
        <is>
          <t>2026.01.21</t>
        </is>
      </c>
      <c r="C51" s="117" t="inlineStr">
        <is>
          <t>GDC</t>
        </is>
      </c>
      <c r="D51" s="118" t="n">
        <v>540</v>
      </c>
      <c r="E51" s="118" t="n">
        <v>3700</v>
      </c>
      <c r="F51" s="122" t="n">
        <v>0.145946</v>
      </c>
      <c r="G51" s="118" t="n">
        <v>1475.7</v>
      </c>
      <c r="H51" s="120" t="n">
        <v>796878</v>
      </c>
      <c r="I51" s="120" t="n">
        <v>4307</v>
      </c>
      <c r="J51" s="120" t="n">
        <v>1095</v>
      </c>
      <c r="K51" s="120" t="n">
        <v>1168</v>
      </c>
      <c r="L51" s="121" t="n">
        <v>803448</v>
      </c>
      <c r="M51" s="115" t="n"/>
    </row>
    <row r="52" ht="15.75" customHeight="1">
      <c r="A52" s="116" t="inlineStr">
        <is>
          <t>MPO66</t>
        </is>
      </c>
      <c r="B52" s="116" t="inlineStr">
        <is>
          <t>2026.01.21</t>
        </is>
      </c>
      <c r="C52" s="117" t="inlineStr">
        <is>
          <t>MAG</t>
        </is>
      </c>
      <c r="D52" s="118" t="n">
        <v>9626.35</v>
      </c>
      <c r="E52" s="118" t="n">
        <v>9626.35</v>
      </c>
      <c r="F52" s="122" t="n">
        <v>1</v>
      </c>
      <c r="G52" s="118" t="n">
        <v>1476</v>
      </c>
      <c r="H52" s="120" t="n">
        <v>14208493</v>
      </c>
      <c r="I52" s="120" t="n">
        <v>29520</v>
      </c>
      <c r="J52" s="120" t="n">
        <v>10000</v>
      </c>
      <c r="K52" s="120" t="n">
        <v>8000</v>
      </c>
      <c r="L52" s="121" t="n">
        <v>14256013</v>
      </c>
      <c r="M52" s="115" t="n"/>
    </row>
    <row r="53" ht="15.75" customHeight="1">
      <c r="A53" s="116" t="inlineStr">
        <is>
          <t>LPO001</t>
        </is>
      </c>
      <c r="B53" s="116" t="inlineStr">
        <is>
          <t>2026.01.30</t>
        </is>
      </c>
      <c r="C53" s="117" t="inlineStr">
        <is>
          <t>Lemon</t>
        </is>
      </c>
      <c r="D53" s="118" t="n">
        <v>5056.8</v>
      </c>
      <c r="E53" s="118" t="n">
        <v>5056.8</v>
      </c>
      <c r="F53" s="122" t="n">
        <v>1</v>
      </c>
      <c r="G53" s="118" t="n">
        <v>1445.5</v>
      </c>
      <c r="H53" s="120" t="n">
        <v>7309604</v>
      </c>
      <c r="I53" s="120" t="n">
        <v>28910</v>
      </c>
      <c r="J53" s="120" t="n">
        <v>10000</v>
      </c>
      <c r="K53" s="120" t="n">
        <v>8000</v>
      </c>
      <c r="L53" s="121" t="n">
        <v>7356514</v>
      </c>
      <c r="M53" s="115" t="n"/>
    </row>
    <row r="54" ht="15.75" customHeight="1">
      <c r="A54" s="116" t="inlineStr">
        <is>
          <t>CPO682</t>
        </is>
      </c>
      <c r="B54" s="116" t="inlineStr">
        <is>
          <t>2026.02.04</t>
        </is>
      </c>
      <c r="C54" s="117" t="inlineStr">
        <is>
          <t>Christie</t>
        </is>
      </c>
      <c r="D54" s="118" t="n">
        <v>20174</v>
      </c>
      <c r="E54" s="118" t="n">
        <v>24794</v>
      </c>
      <c r="F54" s="122" t="n">
        <v>0.813665</v>
      </c>
      <c r="G54" s="118" t="n">
        <v>1454.7</v>
      </c>
      <c r="H54" s="120" t="n">
        <v>29347118</v>
      </c>
      <c r="I54" s="120" t="n">
        <v>23673</v>
      </c>
      <c r="J54" s="120" t="n">
        <v>10171</v>
      </c>
      <c r="K54" s="120" t="n">
        <v>6509</v>
      </c>
      <c r="L54" s="121" t="n">
        <v>29387471</v>
      </c>
      <c r="M54" s="115" t="n"/>
    </row>
    <row r="55" ht="15.75" customHeight="1">
      <c r="A55" s="116" t="inlineStr">
        <is>
          <t>CPO683</t>
        </is>
      </c>
      <c r="B55" s="116" t="inlineStr">
        <is>
          <t>2026.02.04</t>
        </is>
      </c>
      <c r="C55" s="117" t="inlineStr">
        <is>
          <t>Christie</t>
        </is>
      </c>
      <c r="D55" s="118" t="n">
        <v>4620</v>
      </c>
      <c r="E55" s="118" t="n">
        <v>24794</v>
      </c>
      <c r="F55" s="122" t="n">
        <v>0.186335</v>
      </c>
      <c r="G55" s="118" t="n">
        <v>1454.7</v>
      </c>
      <c r="H55" s="120" t="n">
        <v>6720714</v>
      </c>
      <c r="I55" s="120" t="n">
        <v>5421</v>
      </c>
      <c r="J55" s="120" t="n">
        <v>2329</v>
      </c>
      <c r="K55" s="120" t="n">
        <v>1491</v>
      </c>
      <c r="L55" s="121" t="n">
        <v>6729955</v>
      </c>
      <c r="M55" s="115" t="n"/>
    </row>
    <row r="56" ht="15.75" customHeight="1">
      <c r="A56" s="116" t="inlineStr">
        <is>
          <t>GPO462</t>
        </is>
      </c>
      <c r="B56" s="116" t="inlineStr">
        <is>
          <t>2026.02.04</t>
        </is>
      </c>
      <c r="C56" s="117" t="inlineStr">
        <is>
          <t>GDC</t>
        </is>
      </c>
      <c r="D56" s="118" t="n">
        <v>1440</v>
      </c>
      <c r="E56" s="118" t="n">
        <v>11599.57</v>
      </c>
      <c r="F56" s="122" t="n">
        <v>0.124143</v>
      </c>
      <c r="G56" s="118" t="n">
        <v>1453.6</v>
      </c>
      <c r="H56" s="120" t="n">
        <v>2093184</v>
      </c>
      <c r="I56" s="120" t="n">
        <v>3609</v>
      </c>
      <c r="J56" s="120" t="n">
        <v>1241</v>
      </c>
      <c r="K56" s="120" t="n">
        <v>993</v>
      </c>
      <c r="L56" s="121" t="n">
        <v>2099027</v>
      </c>
      <c r="M56" s="115" t="n"/>
    </row>
    <row r="57" ht="15.75" customHeight="1">
      <c r="A57" s="116" t="inlineStr">
        <is>
          <t>GPO463</t>
        </is>
      </c>
      <c r="B57" s="116" t="inlineStr">
        <is>
          <t>2026.02.04</t>
        </is>
      </c>
      <c r="C57" s="117" t="inlineStr">
        <is>
          <t>GDC</t>
        </is>
      </c>
      <c r="D57" s="118" t="n">
        <v>4489</v>
      </c>
      <c r="E57" s="118" t="n">
        <v>11599.57</v>
      </c>
      <c r="F57" s="122" t="n">
        <v>0.386997</v>
      </c>
      <c r="G57" s="118" t="n">
        <v>1453.6</v>
      </c>
      <c r="H57" s="120" t="n">
        <v>6525210</v>
      </c>
      <c r="I57" s="120" t="n">
        <v>11251</v>
      </c>
      <c r="J57" s="120" t="n">
        <v>3870</v>
      </c>
      <c r="K57" s="120" t="n">
        <v>3096</v>
      </c>
      <c r="L57" s="121" t="n">
        <v>6543427</v>
      </c>
      <c r="M57" s="115" t="n"/>
    </row>
    <row r="58" ht="15.75" customHeight="1">
      <c r="A58" s="116" t="inlineStr">
        <is>
          <t>GPO464</t>
        </is>
      </c>
      <c r="B58" s="116" t="inlineStr">
        <is>
          <t>2026.02.04</t>
        </is>
      </c>
      <c r="C58" s="117" t="inlineStr">
        <is>
          <t>GDC</t>
        </is>
      </c>
      <c r="D58" s="118" t="n">
        <v>5670.57</v>
      </c>
      <c r="E58" s="118" t="n">
        <v>11599.57</v>
      </c>
      <c r="F58" s="122" t="n">
        <v>0.48886</v>
      </c>
      <c r="G58" s="118" t="n">
        <v>1453.6</v>
      </c>
      <c r="H58" s="120" t="n">
        <v>8242741</v>
      </c>
      <c r="I58" s="120" t="n">
        <v>14212</v>
      </c>
      <c r="J58" s="120" t="n">
        <v>4889</v>
      </c>
      <c r="K58" s="120" t="n">
        <v>3911</v>
      </c>
      <c r="L58" s="121" t="n">
        <v>8265753</v>
      </c>
      <c r="M58" s="115" t="n"/>
    </row>
    <row r="59" ht="15.75" customHeight="1">
      <c r="A59" s="116" t="inlineStr">
        <is>
          <t>CPO681</t>
        </is>
      </c>
      <c r="B59" s="116" t="inlineStr">
        <is>
          <t>2026.02.11</t>
        </is>
      </c>
      <c r="C59" s="117" t="inlineStr">
        <is>
          <t>Christie</t>
        </is>
      </c>
      <c r="D59" s="118" t="n">
        <v>26358</v>
      </c>
      <c r="E59" s="118" t="n">
        <v>26358</v>
      </c>
      <c r="F59" s="122" t="n">
        <v>1</v>
      </c>
      <c r="G59" s="118" t="n">
        <v>1460.7</v>
      </c>
      <c r="H59" s="120" t="n">
        <v>38501131</v>
      </c>
      <c r="I59" s="120" t="n">
        <v>29214</v>
      </c>
      <c r="J59" s="120" t="n">
        <v>12500</v>
      </c>
      <c r="K59" s="120" t="n">
        <v>8000</v>
      </c>
      <c r="L59" s="121" t="n">
        <v>38550845</v>
      </c>
      <c r="M59" s="115" t="n"/>
    </row>
    <row r="60" ht="15.75" customHeight="1">
      <c r="A60" s="116" t="inlineStr">
        <is>
          <t>CPO686</t>
        </is>
      </c>
      <c r="B60" s="116" t="inlineStr">
        <is>
          <t>2026.02.19</t>
        </is>
      </c>
      <c r="C60" s="117" t="inlineStr">
        <is>
          <t>Christie</t>
        </is>
      </c>
      <c r="D60" s="118" t="n">
        <v>14793</v>
      </c>
      <c r="E60" s="118" t="n">
        <v>17538</v>
      </c>
      <c r="F60" s="122" t="n">
        <v>0.843483</v>
      </c>
      <c r="G60" s="118" t="n">
        <v>1451.7</v>
      </c>
      <c r="H60" s="120" t="n">
        <v>21474998</v>
      </c>
      <c r="I60" s="120" t="n">
        <v>24490</v>
      </c>
      <c r="J60" s="120" t="n">
        <v>8435</v>
      </c>
      <c r="K60" s="120" t="n">
        <v>6748</v>
      </c>
      <c r="L60" s="121" t="n">
        <v>21514671</v>
      </c>
      <c r="M60" s="115" t="n"/>
    </row>
    <row r="61" ht="15.75" customHeight="1">
      <c r="A61" s="116" t="inlineStr">
        <is>
          <t>CPO689</t>
        </is>
      </c>
      <c r="B61" s="116" t="inlineStr">
        <is>
          <t>2026.02.19</t>
        </is>
      </c>
      <c r="C61" s="117" t="inlineStr">
        <is>
          <t>Christie</t>
        </is>
      </c>
      <c r="D61" s="118" t="n">
        <v>2745</v>
      </c>
      <c r="E61" s="118" t="n">
        <v>17538</v>
      </c>
      <c r="F61" s="122" t="n">
        <v>0.156517</v>
      </c>
      <c r="G61" s="118" t="n">
        <v>1451.7</v>
      </c>
      <c r="H61" s="120" t="n">
        <v>3984917</v>
      </c>
      <c r="I61" s="120" t="n">
        <v>4544</v>
      </c>
      <c r="J61" s="120" t="n">
        <v>1565</v>
      </c>
      <c r="K61" s="120" t="n">
        <v>1252</v>
      </c>
      <c r="L61" s="121" t="n">
        <v>3992278</v>
      </c>
      <c r="M61" s="115" t="n"/>
    </row>
    <row r="62" ht="15.75" customHeight="1">
      <c r="A62" s="116" t="inlineStr">
        <is>
          <t>CPO667</t>
        </is>
      </c>
      <c r="B62" s="116" t="inlineStr">
        <is>
          <t>2026.02.27</t>
        </is>
      </c>
      <c r="C62" s="117" t="inlineStr">
        <is>
          <t>Christie</t>
        </is>
      </c>
      <c r="D62" s="118" t="n">
        <v>5673</v>
      </c>
      <c r="E62" s="118" t="n">
        <v>142189</v>
      </c>
      <c r="F62" s="122" t="n">
        <v>0.039898</v>
      </c>
      <c r="G62" s="118" t="n">
        <v>1441.6</v>
      </c>
      <c r="H62" s="120" t="n">
        <v>8178197</v>
      </c>
      <c r="I62" s="120" t="n">
        <v>1150</v>
      </c>
      <c r="J62" s="120" t="n">
        <v>499</v>
      </c>
      <c r="K62" s="120" t="n">
        <v>319</v>
      </c>
      <c r="L62" s="121" t="n">
        <v>8180165</v>
      </c>
      <c r="M62" s="115" t="n"/>
    </row>
    <row r="63" ht="15.75" customHeight="1">
      <c r="A63" s="116" t="inlineStr">
        <is>
          <t>CPO685</t>
        </is>
      </c>
      <c r="B63" s="116" t="inlineStr">
        <is>
          <t>2026.02.27</t>
        </is>
      </c>
      <c r="C63" s="117" t="inlineStr">
        <is>
          <t>Christie</t>
        </is>
      </c>
      <c r="D63" s="118" t="n">
        <v>136516</v>
      </c>
      <c r="E63" s="118" t="n">
        <v>142189</v>
      </c>
      <c r="F63" s="122" t="n">
        <v>0.960102</v>
      </c>
      <c r="G63" s="118" t="n">
        <v>1441.6</v>
      </c>
      <c r="H63" s="120" t="n">
        <v>196801466</v>
      </c>
      <c r="I63" s="120" t="n">
        <v>27682</v>
      </c>
      <c r="J63" s="120" t="n">
        <v>12001</v>
      </c>
      <c r="K63" s="120" t="n">
        <v>7681</v>
      </c>
      <c r="L63" s="121" t="n">
        <v>196848830</v>
      </c>
      <c r="M63" s="115" t="n"/>
    </row>
    <row r="64" ht="15.75" customHeight="1">
      <c r="A64" s="116" t="inlineStr">
        <is>
          <t>CPO678-2</t>
        </is>
      </c>
      <c r="B64" s="116" t="inlineStr">
        <is>
          <t>2026.03.06</t>
        </is>
      </c>
      <c r="C64" s="117" t="inlineStr">
        <is>
          <t>Christie</t>
        </is>
      </c>
      <c r="D64" s="118" t="n">
        <v>137850</v>
      </c>
      <c r="E64" s="118" t="n">
        <v>137850</v>
      </c>
      <c r="F64" s="122" t="n">
        <v>1</v>
      </c>
      <c r="G64" s="118" t="n">
        <v>1477.6</v>
      </c>
      <c r="H64" s="120" t="n">
        <v>203687160</v>
      </c>
      <c r="I64" s="120" t="n">
        <v>29552</v>
      </c>
      <c r="J64" s="120" t="n">
        <v>12500</v>
      </c>
      <c r="K64" s="120" t="n">
        <v>8000</v>
      </c>
      <c r="L64" s="121" t="n">
        <v>203737212</v>
      </c>
      <c r="M64" s="115" t="n"/>
    </row>
    <row r="65" ht="15.75" customHeight="1">
      <c r="A65" s="116" t="inlineStr">
        <is>
          <t>CPO690</t>
        </is>
      </c>
      <c r="B65" s="116" t="inlineStr">
        <is>
          <t>2026.04.01</t>
        </is>
      </c>
      <c r="C65" s="117" t="inlineStr">
        <is>
          <t>Christie</t>
        </is>
      </c>
      <c r="D65" s="118" t="n">
        <v>9740</v>
      </c>
      <c r="E65" s="118" t="n">
        <v>34354</v>
      </c>
      <c r="F65" s="122" t="n">
        <v>0.283519</v>
      </c>
      <c r="G65" s="118" t="n">
        <v>1505.7</v>
      </c>
      <c r="H65" s="120" t="n">
        <v>14665518</v>
      </c>
      <c r="I65" s="120" t="n">
        <v>8538</v>
      </c>
      <c r="J65" s="120" t="n">
        <v>3544</v>
      </c>
      <c r="K65" s="120" t="n">
        <v>2268</v>
      </c>
      <c r="L65" s="121" t="n">
        <v>14679868</v>
      </c>
      <c r="M65" s="115" t="n"/>
    </row>
    <row r="66" ht="15.75" customHeight="1">
      <c r="A66" s="116" t="inlineStr">
        <is>
          <t>CPO691</t>
        </is>
      </c>
      <c r="B66" s="116" t="inlineStr">
        <is>
          <t>2026.04.01</t>
        </is>
      </c>
      <c r="C66" s="117" t="inlineStr">
        <is>
          <t>Christie</t>
        </is>
      </c>
      <c r="D66" s="118" t="n">
        <v>24614</v>
      </c>
      <c r="E66" s="118" t="n">
        <v>34354</v>
      </c>
      <c r="F66" s="122" t="n">
        <v>0.716481</v>
      </c>
      <c r="G66" s="118" t="n">
        <v>1505.7</v>
      </c>
      <c r="H66" s="120" t="n">
        <v>37061300</v>
      </c>
      <c r="I66" s="120" t="n">
        <v>21576</v>
      </c>
      <c r="J66" s="120" t="n">
        <v>8956</v>
      </c>
      <c r="K66" s="120" t="n">
        <v>5732</v>
      </c>
      <c r="L66" s="121" t="n">
        <v>37097564</v>
      </c>
      <c r="M66" s="115" t="n"/>
    </row>
    <row r="67" ht="15.75" customHeight="1">
      <c r="A67" s="116" t="inlineStr">
        <is>
          <t>GPO467</t>
        </is>
      </c>
      <c r="B67" s="116" t="inlineStr">
        <is>
          <t>2026.04.01</t>
        </is>
      </c>
      <c r="C67" s="117" t="inlineStr">
        <is>
          <t>GDC</t>
        </is>
      </c>
      <c r="D67" s="118" t="n">
        <v>1700</v>
      </c>
      <c r="E67" s="118" t="n">
        <v>6553.05</v>
      </c>
      <c r="F67" s="122" t="n">
        <v>0.259421</v>
      </c>
      <c r="G67" s="118" t="n">
        <v>1506.4</v>
      </c>
      <c r="H67" s="120" t="n">
        <v>2560880</v>
      </c>
      <c r="I67" s="120" t="n">
        <v>7816</v>
      </c>
      <c r="J67" s="120" t="n">
        <v>2594</v>
      </c>
      <c r="K67" s="120" t="n">
        <v>2075</v>
      </c>
      <c r="L67" s="121" t="n">
        <v>2573365</v>
      </c>
      <c r="M67" s="115" t="n"/>
    </row>
    <row r="68" ht="15.75" customHeight="1">
      <c r="A68" s="116" t="inlineStr">
        <is>
          <t>GPO469</t>
        </is>
      </c>
      <c r="B68" s="116" t="inlineStr">
        <is>
          <t>2026.04.01</t>
        </is>
      </c>
      <c r="C68" s="117" t="inlineStr">
        <is>
          <t>GDC</t>
        </is>
      </c>
      <c r="D68" s="118" t="n">
        <v>3993.05</v>
      </c>
      <c r="E68" s="118" t="n">
        <v>6553.05</v>
      </c>
      <c r="F68" s="122" t="n">
        <v>0.6093420000000001</v>
      </c>
      <c r="G68" s="118" t="n">
        <v>1506.4</v>
      </c>
      <c r="H68" s="120" t="n">
        <v>6015131</v>
      </c>
      <c r="I68" s="120" t="n">
        <v>18358</v>
      </c>
      <c r="J68" s="120" t="n">
        <v>6093</v>
      </c>
      <c r="K68" s="120" t="n">
        <v>4875</v>
      </c>
      <c r="L68" s="121" t="n">
        <v>6044457</v>
      </c>
      <c r="M68" s="115" t="n"/>
    </row>
    <row r="69" ht="15.75" customHeight="1">
      <c r="A69" s="116" t="inlineStr">
        <is>
          <t>GPO470</t>
        </is>
      </c>
      <c r="B69" s="116" t="inlineStr">
        <is>
          <t>2026.04.01</t>
        </is>
      </c>
      <c r="C69" s="117" t="inlineStr">
        <is>
          <t>GDC</t>
        </is>
      </c>
      <c r="D69" s="118" t="n">
        <v>360</v>
      </c>
      <c r="E69" s="118" t="n">
        <v>6553.05</v>
      </c>
      <c r="F69" s="122" t="n">
        <v>0.054936</v>
      </c>
      <c r="G69" s="118" t="n">
        <v>1506.4</v>
      </c>
      <c r="H69" s="120" t="n">
        <v>542304</v>
      </c>
      <c r="I69" s="120" t="n">
        <v>1655</v>
      </c>
      <c r="J69" s="120" t="n">
        <v>549</v>
      </c>
      <c r="K69" s="120" t="n">
        <v>439</v>
      </c>
      <c r="L69" s="121" t="n">
        <v>544947</v>
      </c>
      <c r="M69" s="115" t="n"/>
    </row>
    <row r="70" ht="15.75" customHeight="1">
      <c r="A70" s="116" t="inlineStr">
        <is>
          <t>GPO471</t>
        </is>
      </c>
      <c r="B70" s="116" t="inlineStr">
        <is>
          <t>2026.04.01</t>
        </is>
      </c>
      <c r="C70" s="117" t="inlineStr">
        <is>
          <t>GDC</t>
        </is>
      </c>
      <c r="D70" s="118" t="n">
        <v>500</v>
      </c>
      <c r="E70" s="118" t="n">
        <v>6553.05</v>
      </c>
      <c r="F70" s="122" t="n">
        <v>0.07630000000000001</v>
      </c>
      <c r="G70" s="118" t="n">
        <v>1506.4</v>
      </c>
      <c r="H70" s="120" t="n">
        <v>753200</v>
      </c>
      <c r="I70" s="120" t="n">
        <v>2299</v>
      </c>
      <c r="J70" s="120" t="n">
        <v>763</v>
      </c>
      <c r="K70" s="120" t="n">
        <v>610</v>
      </c>
      <c r="L70" s="121" t="n">
        <v>756872</v>
      </c>
      <c r="M70" s="115" t="n"/>
    </row>
    <row r="71" ht="15.75" customHeight="1">
      <c r="A71" s="116" t="inlineStr">
        <is>
          <t>GPO468-1</t>
        </is>
      </c>
      <c r="B71" s="116" t="inlineStr">
        <is>
          <t>2026.04.14</t>
        </is>
      </c>
      <c r="C71" s="117" t="inlineStr">
        <is>
          <t>GDC</t>
        </is>
      </c>
      <c r="D71" s="118" t="n">
        <v>36190</v>
      </c>
      <c r="E71" s="118" t="n">
        <v>57650</v>
      </c>
      <c r="F71" s="122" t="n">
        <v>0.627754</v>
      </c>
      <c r="G71" s="118" t="n">
        <v>1481.9</v>
      </c>
      <c r="H71" s="120" t="n">
        <v>53629961</v>
      </c>
      <c r="I71" s="120" t="n">
        <v>18605</v>
      </c>
      <c r="J71" s="120" t="n">
        <v>7847</v>
      </c>
      <c r="K71" s="120" t="n">
        <v>5022</v>
      </c>
      <c r="L71" s="121" t="n">
        <v>53661435</v>
      </c>
      <c r="M71" s="115" t="n"/>
    </row>
    <row r="72" ht="15.75" customHeight="1">
      <c r="A72" s="116" t="inlineStr">
        <is>
          <t>GPO472</t>
        </is>
      </c>
      <c r="B72" s="116" t="inlineStr">
        <is>
          <t>2026.04.14</t>
        </is>
      </c>
      <c r="C72" s="117" t="inlineStr">
        <is>
          <t>GDC</t>
        </is>
      </c>
      <c r="D72" s="118" t="n">
        <v>180</v>
      </c>
      <c r="E72" s="118" t="n">
        <v>57650</v>
      </c>
      <c r="F72" s="122" t="n">
        <v>0.003122</v>
      </c>
      <c r="G72" s="118" t="n">
        <v>1481.9</v>
      </c>
      <c r="H72" s="120" t="n">
        <v>266742</v>
      </c>
      <c r="I72" s="120" t="n">
        <v>93</v>
      </c>
      <c r="J72" s="120" t="n">
        <v>39</v>
      </c>
      <c r="K72" s="120" t="n">
        <v>25</v>
      </c>
      <c r="L72" s="121" t="n">
        <v>266899</v>
      </c>
      <c r="M72" s="115" t="n"/>
    </row>
    <row r="73" ht="15.75" customHeight="1">
      <c r="A73" s="116" t="inlineStr">
        <is>
          <t>GPO468-2</t>
        </is>
      </c>
      <c r="B73" s="116" t="inlineStr">
        <is>
          <t>2026.04.14</t>
        </is>
      </c>
      <c r="C73" s="117" t="inlineStr">
        <is>
          <t>GDC</t>
        </is>
      </c>
      <c r="D73" s="118" t="n">
        <v>21280</v>
      </c>
      <c r="E73" s="118" t="n">
        <v>57650</v>
      </c>
      <c r="F73" s="122" t="n">
        <v>0.369124</v>
      </c>
      <c r="G73" s="118" t="n">
        <v>1481.9</v>
      </c>
      <c r="H73" s="120" t="n">
        <v>31534832</v>
      </c>
      <c r="I73" s="120" t="n">
        <v>10940</v>
      </c>
      <c r="J73" s="120" t="n">
        <v>4614</v>
      </c>
      <c r="K73" s="120" t="n">
        <v>2953</v>
      </c>
      <c r="L73" s="121" t="n">
        <v>31553339</v>
      </c>
      <c r="M73" s="115" t="n"/>
    </row>
    <row r="74" ht="15.75" customHeight="1">
      <c r="A74" s="116" t="inlineStr">
        <is>
          <t>CPO692-1</t>
        </is>
      </c>
      <c r="B74" s="116" t="inlineStr">
        <is>
          <t>2026.04.22</t>
        </is>
      </c>
      <c r="C74" s="117" t="inlineStr">
        <is>
          <t>Christie</t>
        </is>
      </c>
      <c r="D74" s="118" t="n">
        <v>11000</v>
      </c>
      <c r="E74" s="118" t="n">
        <v>297580</v>
      </c>
      <c r="F74" s="122" t="n">
        <v>0.036965</v>
      </c>
      <c r="G74" s="118" t="n">
        <v>1482.8</v>
      </c>
      <c r="H74" s="120" t="n">
        <v>16310800</v>
      </c>
      <c r="I74" s="120" t="n">
        <v>1096</v>
      </c>
      <c r="J74" s="120" t="n">
        <v>462</v>
      </c>
      <c r="K74" s="120" t="n">
        <v>296</v>
      </c>
      <c r="L74" s="121" t="n">
        <v>16312654</v>
      </c>
      <c r="M74" s="115" t="n"/>
    </row>
    <row r="75" ht="15.75" customHeight="1">
      <c r="A75" s="116" t="inlineStr">
        <is>
          <t>CPO692-2</t>
        </is>
      </c>
      <c r="B75" s="116" t="inlineStr">
        <is>
          <t>2026.04.22</t>
        </is>
      </c>
      <c r="C75" s="117" t="inlineStr">
        <is>
          <t>Christie</t>
        </is>
      </c>
      <c r="D75" s="118" t="n">
        <v>286580</v>
      </c>
      <c r="E75" s="118" t="n">
        <v>297580</v>
      </c>
      <c r="F75" s="122" t="n">
        <v>0.963035</v>
      </c>
      <c r="G75" s="118" t="n">
        <v>1482.8</v>
      </c>
      <c r="H75" s="120" t="n">
        <v>424940824</v>
      </c>
      <c r="I75" s="120" t="n">
        <v>28560</v>
      </c>
      <c r="J75" s="120" t="n">
        <v>12038</v>
      </c>
      <c r="K75" s="120" t="n">
        <v>7704</v>
      </c>
      <c r="L75" s="121" t="n">
        <v>424989126</v>
      </c>
      <c r="M75" s="115" t="n"/>
    </row>
    <row r="76" ht="15.75" customHeight="1">
      <c r="A76" s="116" t="inlineStr">
        <is>
          <t>EPO18</t>
        </is>
      </c>
      <c r="B76" s="116" t="inlineStr">
        <is>
          <t>2026.04.22</t>
        </is>
      </c>
      <c r="C76" s="117" t="inlineStr">
        <is>
          <t>MAICO Italia</t>
        </is>
      </c>
      <c r="D76" s="118" t="n">
        <v>4388.4</v>
      </c>
      <c r="E76" s="118" t="n">
        <v>4388.4</v>
      </c>
      <c r="F76" s="122" t="n">
        <v>1</v>
      </c>
      <c r="G76" s="118" t="n">
        <v>1741.08</v>
      </c>
      <c r="H76" s="120" t="n">
        <v>7640555</v>
      </c>
      <c r="I76" s="120" t="n">
        <v>43527</v>
      </c>
      <c r="J76" s="120" t="n">
        <v>10000</v>
      </c>
      <c r="K76" s="120" t="n">
        <v>8000</v>
      </c>
      <c r="L76" s="121" t="n">
        <v>7702082</v>
      </c>
    </row>
    <row r="77" ht="15.75" customHeight="1">
      <c r="A77" s="116" t="inlineStr">
        <is>
          <t>CPO694</t>
        </is>
      </c>
      <c r="B77" s="116" t="inlineStr">
        <is>
          <t>2026.05.04</t>
        </is>
      </c>
      <c r="C77" s="117" t="inlineStr">
        <is>
          <t>Christie</t>
        </is>
      </c>
      <c r="D77" s="118" t="n">
        <v>17404</v>
      </c>
      <c r="E77" s="118" t="n">
        <v>21439</v>
      </c>
      <c r="F77" s="122" t="n">
        <v>0.811792</v>
      </c>
      <c r="G77" s="118" t="n">
        <v>1474.9</v>
      </c>
      <c r="H77" s="120" t="n">
        <v>25669160</v>
      </c>
      <c r="I77" s="120" t="n">
        <v>23946</v>
      </c>
      <c r="J77" s="120" t="n">
        <v>10147</v>
      </c>
      <c r="K77" s="120" t="n">
        <v>6494</v>
      </c>
      <c r="L77" s="121" t="n">
        <v>25709747</v>
      </c>
    </row>
    <row r="78" ht="15.75" customHeight="1">
      <c r="A78" s="116" t="inlineStr">
        <is>
          <t>CPO695-1</t>
        </is>
      </c>
      <c r="B78" s="116" t="inlineStr">
        <is>
          <t>2026.05.04</t>
        </is>
      </c>
      <c r="C78" s="117" t="inlineStr">
        <is>
          <t>Christie</t>
        </is>
      </c>
      <c r="D78" s="118" t="n">
        <v>2058</v>
      </c>
      <c r="E78" s="118" t="n">
        <v>21439</v>
      </c>
      <c r="F78" s="122" t="n">
        <v>0.09599299999999999</v>
      </c>
      <c r="G78" s="118" t="n">
        <v>1474.9</v>
      </c>
      <c r="H78" s="120" t="n">
        <v>3035344</v>
      </c>
      <c r="I78" s="120" t="n">
        <v>2832</v>
      </c>
      <c r="J78" s="120" t="n">
        <v>1200</v>
      </c>
      <c r="K78" s="120" t="n">
        <v>768</v>
      </c>
      <c r="L78" s="121" t="n">
        <v>3040144</v>
      </c>
    </row>
    <row r="79" ht="15.75" customHeight="1">
      <c r="A79" s="116" t="inlineStr">
        <is>
          <t>CPO695-2</t>
        </is>
      </c>
      <c r="B79" s="116" t="inlineStr">
        <is>
          <t>2026.05.04</t>
        </is>
      </c>
      <c r="C79" s="117" t="inlineStr">
        <is>
          <t>Christie</t>
        </is>
      </c>
      <c r="D79" s="118" t="n">
        <v>1977</v>
      </c>
      <c r="E79" s="118" t="n">
        <v>21439</v>
      </c>
      <c r="F79" s="122" t="n">
        <v>0.09221500000000001</v>
      </c>
      <c r="G79" s="118" t="n">
        <v>1474.9</v>
      </c>
      <c r="H79" s="120" t="n">
        <v>2915877</v>
      </c>
      <c r="I79" s="120" t="n">
        <v>2720</v>
      </c>
      <c r="J79" s="120" t="n">
        <v>1153</v>
      </c>
      <c r="K79" s="120" t="n">
        <v>738</v>
      </c>
      <c r="L79" s="121" t="n">
        <v>2920488</v>
      </c>
    </row>
    <row r="80" ht="15.75" customHeight="1">
      <c r="A80" s="116" t="inlineStr">
        <is>
          <t>IPO016</t>
        </is>
      </c>
      <c r="B80" s="116" t="inlineStr">
        <is>
          <t>2026.05.04</t>
        </is>
      </c>
      <c r="C80" s="117" t="inlineStr">
        <is>
          <t>Integ</t>
        </is>
      </c>
      <c r="D80" s="118" t="n">
        <v>6800</v>
      </c>
      <c r="E80" s="118" t="n">
        <v>6800</v>
      </c>
      <c r="F80" s="122" t="n">
        <v>1</v>
      </c>
      <c r="G80" s="118" t="n">
        <v>1475.2</v>
      </c>
      <c r="H80" s="120" t="n">
        <v>10031360</v>
      </c>
      <c r="I80" s="120" t="n">
        <v>29504</v>
      </c>
      <c r="J80" s="120" t="n">
        <v>10000</v>
      </c>
      <c r="K80" s="120" t="n">
        <v>8000</v>
      </c>
      <c r="L80" s="121" t="n">
        <v>10078864</v>
      </c>
    </row>
    <row r="81" ht="15.75" customHeight="1">
      <c r="A81" s="116" t="inlineStr">
        <is>
          <t>GPO478</t>
        </is>
      </c>
      <c r="B81" s="116" t="inlineStr">
        <is>
          <t>2026.05.19</t>
        </is>
      </c>
      <c r="C81" s="117" t="inlineStr">
        <is>
          <t>GDC</t>
        </is>
      </c>
      <c r="D81" s="118" t="n">
        <v>180</v>
      </c>
      <c r="E81" s="118" t="n">
        <v>180</v>
      </c>
      <c r="F81" s="122" t="n">
        <v>1</v>
      </c>
      <c r="G81" s="118" t="n">
        <v>1518.9</v>
      </c>
      <c r="H81" s="120" t="n">
        <v>273402</v>
      </c>
      <c r="I81" s="120" t="n">
        <v>30378</v>
      </c>
      <c r="J81" s="120" t="n">
        <v>2500</v>
      </c>
      <c r="K81" s="120" t="n">
        <v>8000</v>
      </c>
      <c r="L81" s="121" t="n">
        <v>314280</v>
      </c>
    </row>
    <row r="82" ht="15.75" customHeight="1">
      <c r="A82" s="116" t="inlineStr">
        <is>
          <t>CPO698</t>
        </is>
      </c>
      <c r="B82" s="116" t="inlineStr">
        <is>
          <t>2026.05.20</t>
        </is>
      </c>
      <c r="C82" s="117" t="inlineStr">
        <is>
          <t>Christie</t>
        </is>
      </c>
      <c r="D82" s="118" t="n">
        <v>4290</v>
      </c>
      <c r="E82" s="118" t="n">
        <v>4290</v>
      </c>
      <c r="F82" s="122" t="n">
        <v>1</v>
      </c>
      <c r="G82" s="118" t="n">
        <v>1510.6</v>
      </c>
      <c r="H82" s="120" t="n">
        <v>6480474</v>
      </c>
      <c r="I82" s="120" t="n">
        <v>30212</v>
      </c>
      <c r="J82" s="120" t="n">
        <v>7500</v>
      </c>
      <c r="K82" s="120" t="n">
        <v>8000</v>
      </c>
      <c r="L82" s="121" t="n">
        <v>6526186</v>
      </c>
      <c r="M82" s="40" t="n"/>
    </row>
    <row r="83" ht="15.75" customHeight="1">
      <c r="A83" s="116" t="inlineStr">
        <is>
          <t>GPO473-1</t>
        </is>
      </c>
      <c r="B83" s="116" t="inlineStr">
        <is>
          <t>2026.05.29</t>
        </is>
      </c>
      <c r="C83" s="117" t="inlineStr">
        <is>
          <t>GDC</t>
        </is>
      </c>
      <c r="D83" s="118" t="n">
        <v>98800</v>
      </c>
      <c r="E83" s="118" t="n">
        <v>99140</v>
      </c>
      <c r="F83" s="122" t="n">
        <v>0.996571</v>
      </c>
      <c r="G83" s="118" t="n">
        <v>1502.8</v>
      </c>
      <c r="H83" s="120" t="n">
        <v>148476640</v>
      </c>
      <c r="I83" s="120" t="n">
        <v>29953</v>
      </c>
      <c r="J83" s="120" t="n">
        <v>12457</v>
      </c>
      <c r="K83" s="120" t="n">
        <v>7973</v>
      </c>
      <c r="L83" s="121" t="n">
        <v>148527023</v>
      </c>
    </row>
    <row r="84" ht="15.75" customHeight="1">
      <c r="A84" s="116" t="inlineStr">
        <is>
          <t>GPO480</t>
        </is>
      </c>
      <c r="B84" s="116" t="inlineStr">
        <is>
          <t>2026.05.29</t>
        </is>
      </c>
      <c r="C84" s="117" t="inlineStr">
        <is>
          <t>GDC</t>
        </is>
      </c>
      <c r="D84" s="118" t="n">
        <v>250</v>
      </c>
      <c r="E84" s="118" t="n">
        <v>99140</v>
      </c>
      <c r="F84" s="122" t="n">
        <v>0.002522</v>
      </c>
      <c r="G84" s="118" t="n">
        <v>1502.8</v>
      </c>
      <c r="H84" s="120" t="n">
        <v>375700</v>
      </c>
      <c r="I84" s="120" t="n">
        <v>76</v>
      </c>
      <c r="J84" s="120" t="n">
        <v>32</v>
      </c>
      <c r="K84" s="120" t="n">
        <v>20</v>
      </c>
      <c r="L84" s="121" t="n">
        <v>375828</v>
      </c>
    </row>
    <row r="85" ht="15.75" customHeight="1">
      <c r="A85" s="116" t="inlineStr">
        <is>
          <t>GPO479</t>
        </is>
      </c>
      <c r="B85" s="116" t="inlineStr">
        <is>
          <t>2026.05.29</t>
        </is>
      </c>
      <c r="C85" s="117" t="inlineStr">
        <is>
          <t>GDC</t>
        </is>
      </c>
      <c r="D85" s="118" t="n">
        <v>90</v>
      </c>
      <c r="E85" s="118" t="n">
        <v>99140</v>
      </c>
      <c r="F85" s="122" t="n">
        <v>0.000908</v>
      </c>
      <c r="G85" s="118" t="n">
        <v>1502.8</v>
      </c>
      <c r="H85" s="120" t="n">
        <v>135252</v>
      </c>
      <c r="I85" s="120" t="n">
        <v>27</v>
      </c>
      <c r="J85" s="120" t="n">
        <v>11</v>
      </c>
      <c r="K85" s="120" t="n">
        <v>7</v>
      </c>
      <c r="L85" s="121" t="n">
        <v>135297</v>
      </c>
    </row>
    <row r="86" ht="15.75" customHeight="1">
      <c r="A86" s="116" t="inlineStr">
        <is>
          <t>CPO697</t>
        </is>
      </c>
      <c r="B86" s="116" t="inlineStr">
        <is>
          <t>2026.05.29</t>
        </is>
      </c>
      <c r="C86" s="117" t="inlineStr">
        <is>
          <t>Christie</t>
        </is>
      </c>
      <c r="D86" s="118" t="n">
        <v>15289</v>
      </c>
      <c r="E86" s="118" t="n">
        <v>101638</v>
      </c>
      <c r="F86" s="122" t="n">
        <v>0.150426</v>
      </c>
      <c r="G86" s="118" t="n">
        <v>1502.7</v>
      </c>
      <c r="H86" s="120" t="n">
        <v>22974780</v>
      </c>
      <c r="I86" s="120" t="n">
        <v>4521</v>
      </c>
      <c r="J86" s="120" t="n">
        <v>1880</v>
      </c>
      <c r="K86" s="120" t="n">
        <v>1203</v>
      </c>
      <c r="L86" s="121" t="n">
        <v>22982384</v>
      </c>
    </row>
    <row r="87" ht="15.75" customHeight="1">
      <c r="A87" s="116" t="inlineStr">
        <is>
          <t>CPO696-1</t>
        </is>
      </c>
      <c r="B87" s="116" t="inlineStr">
        <is>
          <t>2026.05.29</t>
        </is>
      </c>
      <c r="C87" s="117" t="inlineStr">
        <is>
          <t>Christie</t>
        </is>
      </c>
      <c r="D87" s="118" t="n">
        <v>78209</v>
      </c>
      <c r="E87" s="118" t="n">
        <v>101638</v>
      </c>
      <c r="F87" s="122" t="n">
        <v>0.769486</v>
      </c>
      <c r="G87" s="118" t="n">
        <v>1502.7</v>
      </c>
      <c r="H87" s="120" t="n">
        <v>117524664</v>
      </c>
      <c r="I87" s="120" t="n">
        <v>23126</v>
      </c>
      <c r="J87" s="120" t="n">
        <v>9619</v>
      </c>
      <c r="K87" s="120" t="n">
        <v>6156</v>
      </c>
      <c r="L87" s="121" t="n">
        <v>117563565</v>
      </c>
    </row>
    <row r="88">
      <c r="A88" s="116" t="inlineStr">
        <is>
          <t>CPO696-2</t>
        </is>
      </c>
      <c r="B88" s="116" t="inlineStr">
        <is>
          <t>2026.05.29</t>
        </is>
      </c>
      <c r="C88" s="117" t="inlineStr">
        <is>
          <t>Christie</t>
        </is>
      </c>
      <c r="D88" s="118" t="n">
        <v>8140</v>
      </c>
      <c r="E88" s="118" t="n">
        <v>101638</v>
      </c>
      <c r="F88" s="122" t="n">
        <v>0.08008800000000001</v>
      </c>
      <c r="G88" s="118" t="n">
        <v>1502.7</v>
      </c>
      <c r="H88" s="120" t="n">
        <v>12231978</v>
      </c>
      <c r="I88" s="120" t="n">
        <v>2407</v>
      </c>
      <c r="J88" s="120" t="n">
        <v>1001</v>
      </c>
      <c r="K88" s="120" t="n">
        <v>641</v>
      </c>
      <c r="L88" s="121" t="n">
        <v>12236027</v>
      </c>
    </row>
    <row r="89">
      <c r="A89" s="234" t="inlineStr">
        <is>
          <t>GPO481</t>
        </is>
      </c>
      <c r="B89" s="234" t="inlineStr">
        <is>
          <t>2026.06.10</t>
        </is>
      </c>
      <c r="C89" s="235" t="inlineStr">
        <is>
          <t>GDC</t>
        </is>
      </c>
      <c r="D89" s="236" t="n">
        <v>500</v>
      </c>
      <c r="E89" s="236" t="n">
        <v>119060</v>
      </c>
      <c r="F89" s="240" t="n">
        <v>0.0042</v>
      </c>
      <c r="G89" s="236" t="n">
        <v>1525.3</v>
      </c>
      <c r="H89" s="238" t="n">
        <v>762650</v>
      </c>
      <c r="I89" s="238" t="n">
        <v>128</v>
      </c>
      <c r="J89" s="238" t="n">
        <v>52</v>
      </c>
      <c r="K89" s="238" t="n">
        <v>34</v>
      </c>
      <c r="L89" s="239" t="n">
        <v>762864</v>
      </c>
    </row>
    <row r="90">
      <c r="A90" s="234" t="inlineStr">
        <is>
          <t>GPO473-2</t>
        </is>
      </c>
      <c r="B90" s="234" t="inlineStr">
        <is>
          <t>2026.06.10</t>
        </is>
      </c>
      <c r="C90" s="235" t="inlineStr">
        <is>
          <t>GDC</t>
        </is>
      </c>
      <c r="D90" s="236" t="n">
        <v>69160</v>
      </c>
      <c r="E90" s="236" t="n">
        <v>119060</v>
      </c>
      <c r="F90" s="240" t="n">
        <v>0.580884</v>
      </c>
      <c r="G90" s="236" t="n">
        <v>1525.3</v>
      </c>
      <c r="H90" s="238" t="n">
        <v>105489748</v>
      </c>
      <c r="I90" s="238" t="n">
        <v>17720</v>
      </c>
      <c r="J90" s="238" t="n">
        <v>7261</v>
      </c>
      <c r="K90" s="238" t="n">
        <v>4647</v>
      </c>
      <c r="L90" s="239" t="n">
        <v>105519376</v>
      </c>
    </row>
    <row r="91">
      <c r="A91" s="234" t="inlineStr">
        <is>
          <t>GPO473-3</t>
        </is>
      </c>
      <c r="B91" s="234" t="inlineStr">
        <is>
          <t>2026.06.10</t>
        </is>
      </c>
      <c r="C91" s="235" t="inlineStr">
        <is>
          <t>GDC</t>
        </is>
      </c>
      <c r="D91" s="236" t="n">
        <v>49400</v>
      </c>
      <c r="E91" s="236" t="n">
        <v>119060</v>
      </c>
      <c r="F91" s="240" t="n">
        <v>0.414917</v>
      </c>
      <c r="G91" s="236" t="n">
        <v>1525.3</v>
      </c>
      <c r="H91" s="238" t="n">
        <v>75349820</v>
      </c>
      <c r="I91" s="238" t="n">
        <v>12657</v>
      </c>
      <c r="J91" s="238" t="n">
        <v>5186</v>
      </c>
      <c r="K91" s="238" t="n">
        <v>3319</v>
      </c>
      <c r="L91" s="239" t="n">
        <v>75370982</v>
      </c>
    </row>
    <row r="92">
      <c r="A92" s="234" t="inlineStr">
        <is>
          <t>CPO696-3</t>
        </is>
      </c>
      <c r="B92" s="234" t="inlineStr">
        <is>
          <t>2026.06.17</t>
        </is>
      </c>
      <c r="C92" s="235" t="inlineStr">
        <is>
          <t>Christie</t>
        </is>
      </c>
      <c r="D92" s="236" t="n">
        <v>351274</v>
      </c>
      <c r="E92" s="236" t="n">
        <v>351274</v>
      </c>
      <c r="F92" s="240">
        <f>IFERROR(D92/E92,0)</f>
        <v/>
      </c>
      <c r="G92" s="236" t="n">
        <v>1518</v>
      </c>
      <c r="H92" s="238" t="n">
        <v>533233932</v>
      </c>
      <c r="I92" s="238" t="n">
        <v>30360</v>
      </c>
      <c r="J92" s="238" t="n">
        <v>12500</v>
      </c>
      <c r="K92" s="238" t="n">
        <v>8000</v>
      </c>
      <c r="L92" s="239">
        <f>H92+I92+J92+K92</f>
        <v/>
      </c>
    </row>
    <row r="93">
      <c r="A93" s="234" t="inlineStr">
        <is>
          <t>APO001</t>
        </is>
      </c>
      <c r="B93" s="234" t="inlineStr">
        <is>
          <t>2026.06.17</t>
        </is>
      </c>
      <c r="C93" s="235" t="inlineStr">
        <is>
          <t>Appotronics</t>
        </is>
      </c>
      <c r="D93" s="236" t="n">
        <v>12400</v>
      </c>
      <c r="E93" s="236" t="n">
        <v>12400</v>
      </c>
      <c r="F93" s="240">
        <f>IFERROR(D93/E93,0)</f>
        <v/>
      </c>
      <c r="G93" s="236" t="n">
        <v>1517.1</v>
      </c>
      <c r="H93" s="238" t="n">
        <v>18812040</v>
      </c>
      <c r="I93" s="238" t="n">
        <v>30342</v>
      </c>
      <c r="J93" s="238" t="n">
        <v>10000</v>
      </c>
      <c r="K93" s="238" t="n">
        <v>8000</v>
      </c>
      <c r="L93" s="239">
        <f>H93+I93+J93+K93</f>
        <v/>
      </c>
    </row>
    <row r="94">
      <c r="A94" s="234" t="inlineStr">
        <is>
          <t>MPO67</t>
        </is>
      </c>
      <c r="B94" s="234" t="inlineStr">
        <is>
          <t>2026.06.17</t>
        </is>
      </c>
      <c r="C94" s="235" t="inlineStr">
        <is>
          <t>MAG</t>
        </is>
      </c>
      <c r="D94" s="236" t="n">
        <v>49138.8</v>
      </c>
      <c r="E94" s="236" t="n">
        <v>60726</v>
      </c>
      <c r="F94" s="240">
        <f>IFERROR(D94/E94,0)</f>
        <v/>
      </c>
      <c r="G94" s="236" t="n">
        <v>1517.3</v>
      </c>
      <c r="H94" s="238" t="n">
        <v>74558330</v>
      </c>
      <c r="I94" s="238" t="n">
        <v>24555</v>
      </c>
      <c r="J94" s="238" t="n">
        <v>10115</v>
      </c>
      <c r="K94" s="238" t="n">
        <v>6473</v>
      </c>
      <c r="L94" s="239">
        <f>H94+I94+J94+K94</f>
        <v/>
      </c>
    </row>
    <row r="95">
      <c r="A95" s="234" t="inlineStr">
        <is>
          <t>MPO68</t>
        </is>
      </c>
      <c r="B95" s="234" t="inlineStr">
        <is>
          <t>2026.06.17</t>
        </is>
      </c>
      <c r="C95" s="235" t="inlineStr">
        <is>
          <t>MAG</t>
        </is>
      </c>
      <c r="D95" s="236" t="n">
        <v>11587.2</v>
      </c>
      <c r="E95" s="236" t="n">
        <v>60726</v>
      </c>
      <c r="F95" s="240">
        <f>IFERROR(D95/E95,0)</f>
        <v/>
      </c>
      <c r="G95" s="236" t="n">
        <v>1517.3</v>
      </c>
      <c r="H95" s="238" t="n">
        <v>17582284</v>
      </c>
      <c r="I95" s="238" t="n">
        <v>5791</v>
      </c>
      <c r="J95" s="238" t="n">
        <v>2385</v>
      </c>
      <c r="K95" s="238" t="n">
        <v>1527</v>
      </c>
      <c r="L95" s="239">
        <f>H95+I95+J95+K95</f>
        <v/>
      </c>
    </row>
    <row r="96">
      <c r="A96" s="234" t="inlineStr">
        <is>
          <t>GPO475</t>
        </is>
      </c>
      <c r="B96" s="234" t="inlineStr">
        <is>
          <t>2026.06.17</t>
        </is>
      </c>
      <c r="C96" s="235" t="inlineStr">
        <is>
          <t>GDC</t>
        </is>
      </c>
      <c r="D96" s="236" t="n">
        <v>540</v>
      </c>
      <c r="E96" s="236" t="n">
        <v>2040</v>
      </c>
      <c r="F96" s="240">
        <f>IFERROR(D96/E96,0)</f>
        <v/>
      </c>
      <c r="G96" s="236" t="n">
        <v>1516.8</v>
      </c>
      <c r="H96" s="238" t="n">
        <v>819072</v>
      </c>
      <c r="I96" s="238" t="n">
        <v>8030</v>
      </c>
      <c r="J96" s="238" t="n">
        <v>1985</v>
      </c>
      <c r="K96" s="238" t="n">
        <v>2118</v>
      </c>
      <c r="L96" s="239">
        <f>H96+I96+J96+K96</f>
        <v/>
      </c>
    </row>
    <row r="97">
      <c r="A97" s="234" t="inlineStr">
        <is>
          <t>GPO475-수리</t>
        </is>
      </c>
      <c r="B97" s="234" t="inlineStr">
        <is>
          <t>2026.06.17</t>
        </is>
      </c>
      <c r="C97" s="235" t="inlineStr">
        <is>
          <t>GDC</t>
        </is>
      </c>
      <c r="D97" s="236" t="n">
        <v>1500</v>
      </c>
      <c r="E97" s="236" t="n">
        <v>2040</v>
      </c>
      <c r="F97" s="240">
        <f>IFERROR(D97/E97,0)</f>
        <v/>
      </c>
      <c r="G97" s="236" t="n">
        <v>1516.8</v>
      </c>
      <c r="H97" s="238" t="n">
        <v>2275200</v>
      </c>
      <c r="I97" s="238" t="n">
        <v>22306</v>
      </c>
      <c r="J97" s="238" t="n">
        <v>5515</v>
      </c>
      <c r="K97" s="238" t="n">
        <v>5882</v>
      </c>
      <c r="L97" s="239">
        <f>H97+I97+J97+K97</f>
        <v/>
      </c>
    </row>
  </sheetData>
  <mergeCells count="2">
    <mergeCell ref="A41:L41"/>
    <mergeCell ref="A1:L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71"/>
  <sheetViews>
    <sheetView showGridLines="0" zoomScaleNormal="100" workbookViewId="0">
      <selection activeCell="H26" sqref="H26"/>
    </sheetView>
  </sheetViews>
  <sheetFormatPr baseColWidth="10" defaultColWidth="8.83203125" defaultRowHeight="17"/>
  <cols>
    <col width="10" customWidth="1" style="160" min="1" max="1"/>
    <col width="16" customWidth="1" style="160" min="2" max="3"/>
    <col width="18" customWidth="1" style="160" min="4" max="4"/>
    <col width="12" customWidth="1" style="160" min="5" max="5"/>
    <col width="32" customWidth="1" style="160" min="6" max="6"/>
    <col width="16.33203125" customWidth="1" style="160" min="7" max="8"/>
    <col width="14.83203125" customWidth="1" style="160" min="9" max="9"/>
    <col width="12" customWidth="1" style="160" min="10" max="10"/>
    <col width="16" customWidth="1" style="160" min="11" max="11"/>
    <col width="14.33203125" customWidth="1" style="160" min="12" max="12"/>
    <col width="12" customWidth="1" style="160" min="13" max="14"/>
    <col width="14" customWidth="1" style="160" min="15" max="15"/>
    <col width="12" customWidth="1" style="160" min="16" max="16"/>
    <col width="8.83203125" customWidth="1" style="160" min="17" max="21"/>
    <col width="8.83203125" customWidth="1" style="160" min="22" max="16384"/>
  </cols>
  <sheetData>
    <row r="1" ht="24" customHeight="1">
      <c r="A1" s="198" t="inlineStr">
        <is>
          <t>RNR 2026년 Usance L/C 상환 현황</t>
        </is>
      </c>
      <c r="B1" s="148" t="n"/>
      <c r="C1" s="148" t="n"/>
      <c r="D1" s="148" t="n"/>
      <c r="E1" s="148" t="n"/>
      <c r="F1" s="148" t="n"/>
      <c r="G1" s="148" t="n"/>
      <c r="H1" s="148" t="n"/>
      <c r="I1" s="148" t="n"/>
      <c r="J1" s="148" t="n"/>
      <c r="K1" s="148" t="n"/>
      <c r="L1" s="148" t="n"/>
      <c r="M1" s="148" t="n"/>
      <c r="N1" s="148" t="n"/>
      <c r="O1" s="148" t="n"/>
      <c r="P1" s="149" t="n"/>
    </row>
    <row r="2" ht="15.75" customHeight="1">
      <c r="A2" s="163" t="inlineStr">
        <is>
          <t>기준일: 2026-06-16  |  상환 완료 건은 초록색 표시  |  상환예정일 = 신한은행 PDF 만기일 기준</t>
        </is>
      </c>
    </row>
    <row r="3" ht="6" customHeight="1">
      <c r="A3" s="43" t="n"/>
      <c r="B3" s="43" t="n"/>
      <c r="C3" s="43" t="n"/>
      <c r="D3" s="43" t="n"/>
      <c r="E3" s="43" t="n"/>
      <c r="F3" s="43" t="n"/>
      <c r="G3" s="43" t="n"/>
      <c r="H3" s="43" t="n"/>
      <c r="I3" s="43" t="n"/>
      <c r="J3" s="43" t="n"/>
      <c r="K3" s="43" t="n"/>
      <c r="L3" s="43" t="n"/>
      <c r="M3" s="43" t="n"/>
      <c r="N3" s="43" t="n"/>
      <c r="O3" s="43" t="n"/>
      <c r="P3" s="43" t="n"/>
    </row>
    <row r="4" ht="18" customHeight="1">
      <c r="A4" s="162" t="inlineStr">
        <is>
          <t>&lt; 은행별 Usance L/C 한도 현황 &gt;</t>
        </is>
      </c>
    </row>
    <row r="5" ht="18" customHeight="1">
      <c r="A5" s="44" t="inlineStr">
        <is>
          <t>은행</t>
        </is>
      </c>
      <c r="B5" s="44" t="inlineStr">
        <is>
          <t>총 한도(USD)</t>
        </is>
      </c>
      <c r="C5" s="44" t="inlineStr">
        <is>
          <t>현재 오픈(USD)</t>
        </is>
      </c>
      <c r="D5" s="44" t="inlineStr">
        <is>
          <t>잔여 가용 한도(USD)</t>
        </is>
      </c>
      <c r="E5" s="44" t="inlineStr">
        <is>
          <t>활성 여부</t>
        </is>
      </c>
      <c r="F5" s="44" t="inlineStr">
        <is>
          <t>비고</t>
        </is>
      </c>
    </row>
    <row r="6" ht="18" customHeight="1">
      <c r="A6" s="45" t="inlineStr">
        <is>
          <t>신한은행</t>
        </is>
      </c>
      <c r="B6" s="46" t="n">
        <v>500000</v>
      </c>
      <c r="C6" s="46">
        <f>SUMPRODUCT((E16:E17="신한은행")*(M16:M17="")*D16:D17)</f>
        <v/>
      </c>
      <c r="D6" s="46">
        <f>B6-C6</f>
        <v/>
      </c>
      <c r="E6" s="47" t="inlineStr">
        <is>
          <t>활성</t>
        </is>
      </c>
      <c r="F6" s="48" t="inlineStr">
        <is>
          <t>LC 현재 활성 사용 중</t>
        </is>
      </c>
    </row>
    <row r="7" ht="18" customHeight="1">
      <c r="A7" s="45" t="inlineStr">
        <is>
          <t>하나은행</t>
        </is>
      </c>
      <c r="B7" s="46" t="n">
        <v>200000</v>
      </c>
      <c r="C7" s="46">
        <f>SUMPRODUCT((E16:E17="하나은행")*(M16:M17="")*D16:D17)</f>
        <v/>
      </c>
      <c r="D7" s="46">
        <f>B7-C7</f>
        <v/>
      </c>
      <c r="E7" s="47" t="inlineStr">
        <is>
          <t>활성</t>
        </is>
      </c>
      <c r="F7" s="48" t="inlineStr">
        <is>
          <t>현재 미사용</t>
        </is>
      </c>
    </row>
    <row r="8" ht="18" customHeight="1">
      <c r="A8" s="49" t="inlineStr">
        <is>
          <t>우리은행</t>
        </is>
      </c>
      <c r="B8" s="50" t="n">
        <v>700000</v>
      </c>
      <c r="C8" s="50">
        <f>SUMPRODUCT((E16:E17="우리은행")*(M16:M17="")*D16:D17)</f>
        <v/>
      </c>
      <c r="D8" s="50">
        <f>B8-C8</f>
        <v/>
      </c>
      <c r="E8" s="49" t="inlineStr">
        <is>
          <t>비활성</t>
        </is>
      </c>
      <c r="F8" s="51" t="inlineStr">
        <is>
          <t>신한·하나만 활성 (Slack 2026-03-16)</t>
        </is>
      </c>
    </row>
    <row r="9" ht="18" customHeight="1">
      <c r="A9" s="52" t="inlineStr">
        <is>
          <t>합계</t>
        </is>
      </c>
      <c r="B9" s="53">
        <f>SUM(B6:B8)</f>
        <v/>
      </c>
      <c r="C9" s="53">
        <f>SUM(C6:C8)</f>
        <v/>
      </c>
      <c r="D9" s="53">
        <f>SUM(D6:D8)</f>
        <v/>
      </c>
      <c r="E9" s="54" t="n"/>
      <c r="F9" s="54" t="n"/>
    </row>
    <row r="10" ht="18" customHeight="1">
      <c r="A10" s="159" t="inlineStr">
        <is>
          <t>※ 현재 오픈 = 미상환 L/C(상환확정일 비어있는 건)의 개설금액 합계 → 상환 시 자동 반영</t>
        </is>
      </c>
    </row>
    <row r="11" ht="18" customHeight="1">
      <c r="A11" s="159" t="inlineStr">
        <is>
          <t>출처: 총 한도 – Slack 2024-11-19 / 활성 여부 – Slack 2026-03-16 도원석</t>
        </is>
      </c>
    </row>
    <row r="12" ht="18" customHeight="1"/>
    <row r="13" ht="18" customHeight="1"/>
    <row r="14" ht="15" customHeight="1">
      <c r="A14" s="199" t="inlineStr">
        <is>
          <t>&lt; Usance L/C 현황 (상환완료 포함) &gt;</t>
        </is>
      </c>
      <c r="B14" s="148" t="n"/>
      <c r="C14" s="148" t="n"/>
      <c r="D14" s="148" t="n"/>
      <c r="E14" s="148" t="n"/>
      <c r="F14" s="148" t="n"/>
      <c r="G14" s="148" t="n"/>
      <c r="H14" s="148" t="n"/>
      <c r="I14" s="148" t="n"/>
      <c r="J14" s="148" t="n"/>
      <c r="K14" s="148" t="n"/>
      <c r="L14" s="148" t="n"/>
      <c r="M14" s="148" t="n"/>
      <c r="N14" s="148" t="n"/>
      <c r="O14" s="148" t="n"/>
      <c r="P14" s="149" t="n"/>
    </row>
    <row r="15" ht="15" customFormat="1" customHeight="1" s="73">
      <c r="A15" s="56" t="inlineStr">
        <is>
          <t>No.</t>
        </is>
      </c>
      <c r="B15" s="56" t="inlineStr">
        <is>
          <t>PO No.</t>
        </is>
      </c>
      <c r="C15" s="158" t="inlineStr">
        <is>
          <t>업체</t>
        </is>
      </c>
      <c r="D15" s="56" t="inlineStr">
        <is>
          <t>개설금액(USD)</t>
        </is>
      </c>
      <c r="E15" s="56" t="inlineStr">
        <is>
          <t>개설은행</t>
        </is>
      </c>
      <c r="F15" s="56" t="inlineStr">
        <is>
          <t>L/C No.</t>
        </is>
      </c>
      <c r="G15" s="56" t="inlineStr">
        <is>
          <t>L/C Open Date</t>
        </is>
      </c>
      <c r="H15" s="56" t="inlineStr">
        <is>
          <t>L/C Expired Date</t>
        </is>
      </c>
      <c r="I15" s="56" t="inlineStr">
        <is>
          <t>Days</t>
        </is>
      </c>
      <c r="J15" s="56" t="inlineStr">
        <is>
          <t>인수일</t>
        </is>
      </c>
      <c r="K15" s="56" t="inlineStr">
        <is>
          <t>상환예정일(만기일)</t>
        </is>
      </c>
      <c r="L15" s="56" t="inlineStr">
        <is>
          <t>D-Day</t>
        </is>
      </c>
      <c r="M15" s="56" t="inlineStr">
        <is>
          <t>상환확정일</t>
        </is>
      </c>
      <c r="N15" s="56" t="inlineStr">
        <is>
          <t>상환환율(₩)</t>
        </is>
      </c>
      <c r="O15" s="56" t="inlineStr">
        <is>
          <t>상환금액(KRW)</t>
        </is>
      </c>
      <c r="P15" s="56" t="inlineStr">
        <is>
          <t>비고</t>
        </is>
      </c>
    </row>
    <row r="16" ht="15" customHeight="1">
      <c r="A16" s="276" t="n">
        <v>1</v>
      </c>
      <c r="B16" s="276" t="inlineStr">
        <is>
          <t>CPO-672</t>
        </is>
      </c>
      <c r="C16" s="277" t="inlineStr">
        <is>
          <t>Christie</t>
        </is>
      </c>
      <c r="D16" s="278" t="n">
        <v>221868</v>
      </c>
      <c r="E16" s="276" t="inlineStr">
        <is>
          <t>신한은행</t>
        </is>
      </c>
      <c r="F16" s="276" t="inlineStr">
        <is>
          <t>M88JX2510NU00018</t>
        </is>
      </c>
      <c r="G16" s="276" t="inlineStr">
        <is>
          <t>2025-10-16</t>
        </is>
      </c>
      <c r="H16" s="276" t="inlineStr">
        <is>
          <t>2026-04-14</t>
        </is>
      </c>
      <c r="I16" s="276" t="inlineStr">
        <is>
          <t>180 Days</t>
        </is>
      </c>
      <c r="J16" s="276" t="inlineStr">
        <is>
          <t>2025-12-16</t>
        </is>
      </c>
      <c r="K16" s="276" t="inlineStr">
        <is>
          <t>2026-06-16</t>
        </is>
      </c>
      <c r="L16" s="279" t="inlineStr">
        <is>
          <t>상환완료</t>
        </is>
      </c>
      <c r="M16" s="280" t="n">
        <v>46189</v>
      </c>
      <c r="N16" s="278" t="n">
        <v>1517.25</v>
      </c>
      <c r="O16" s="281" t="n">
        <v>336629315</v>
      </c>
      <c r="P16" s="276" t="inlineStr">
        <is>
          <t>6/16 만기 상환 완료 (외국환 거래표 2026-06-16, REF M88JX2510NU00018). 원금 USD 221,868.00 → 원화 336,629,315 (적용환율 1,517.25, 은행 실제 출금액). 미결제잔액 USD 0.00, 하단 정산 명세 참조</t>
        </is>
      </c>
    </row>
    <row r="17" ht="15" customHeight="1">
      <c r="A17" s="245" t="n">
        <v>2</v>
      </c>
      <c r="B17" s="245" t="inlineStr">
        <is>
          <t>GPO-446-2</t>
        </is>
      </c>
      <c r="C17" s="246" t="inlineStr">
        <is>
          <t>GDC</t>
        </is>
      </c>
      <c r="D17" s="247" t="n">
        <v>190470</v>
      </c>
      <c r="E17" s="245" t="inlineStr">
        <is>
          <t>신한은행</t>
        </is>
      </c>
      <c r="F17" s="245" t="inlineStr">
        <is>
          <t>M88JX2511NU00018</t>
        </is>
      </c>
      <c r="G17" s="245" t="inlineStr">
        <is>
          <t>2025-11-11</t>
        </is>
      </c>
      <c r="H17" s="245" t="inlineStr">
        <is>
          <t>2026-05-10</t>
        </is>
      </c>
      <c r="I17" s="245" t="inlineStr">
        <is>
          <t>180 Days</t>
        </is>
      </c>
      <c r="J17" s="245" t="inlineStr">
        <is>
          <t>2025-12-08</t>
        </is>
      </c>
      <c r="K17" s="245" t="inlineStr">
        <is>
          <t>2026-06-09</t>
        </is>
      </c>
      <c r="L17" s="248" t="inlineStr">
        <is>
          <t>상환완료</t>
        </is>
      </c>
      <c r="M17" s="249" t="n">
        <v>46182</v>
      </c>
      <c r="N17" s="247" t="n">
        <v>1535.1</v>
      </c>
      <c r="O17" s="272" t="n">
        <v>292390497</v>
      </c>
      <c r="P17" s="245" t="inlineStr">
        <is>
          <t>6/9 만기 상환 완료 (전표 2026-06-09, 승인 402875686), 하단 정산 명세 참조</t>
        </is>
      </c>
    </row>
    <row r="18" ht="15" customHeight="1">
      <c r="A18" s="56" t="inlineStr">
        <is>
          <t>합계</t>
        </is>
      </c>
      <c r="B18" s="56" t="n"/>
      <c r="C18" s="57" t="n"/>
      <c r="D18" s="64">
        <f>SUM(D16:D17)</f>
        <v/>
      </c>
      <c r="E18" s="56" t="n"/>
      <c r="F18" s="56" t="n"/>
      <c r="G18" s="58" t="n"/>
      <c r="H18" s="58" t="n"/>
      <c r="I18" s="58" t="n"/>
      <c r="J18" s="56" t="n"/>
      <c r="K18" s="56" t="n"/>
      <c r="L18" s="56" t="n"/>
      <c r="M18" s="56" t="n"/>
      <c r="N18" s="56" t="n"/>
      <c r="O18" s="56" t="n"/>
      <c r="P18" s="56" t="n"/>
    </row>
    <row r="19" ht="15" customHeight="1">
      <c r="A19" s="65" t="n"/>
      <c r="B19" s="65" t="n"/>
      <c r="C19" s="66" t="n"/>
      <c r="D19" s="65" t="n"/>
      <c r="E19" s="65" t="n"/>
      <c r="F19" s="65" t="n"/>
      <c r="G19" s="65" t="n"/>
      <c r="H19" s="65" t="n"/>
      <c r="I19" s="65" t="n"/>
      <c r="J19" s="65" t="n"/>
      <c r="K19" s="65" t="n"/>
      <c r="L19" s="65" t="n"/>
      <c r="M19" s="65" t="n"/>
      <c r="N19" s="65" t="n"/>
      <c r="O19" s="65" t="n"/>
      <c r="P19" s="65" t="n"/>
    </row>
    <row r="20" ht="15" customHeight="1">
      <c r="A20" s="199" t="inlineStr">
        <is>
          <t>&lt; 수입/통관 정보 &gt;</t>
        </is>
      </c>
      <c r="B20" s="148" t="n"/>
      <c r="C20" s="148" t="n"/>
      <c r="D20" s="148" t="n"/>
      <c r="E20" s="148" t="n"/>
      <c r="F20" s="148" t="n"/>
      <c r="G20" s="148" t="n"/>
      <c r="H20" s="148" t="n"/>
      <c r="I20" s="148" t="n"/>
      <c r="J20" s="148" t="n"/>
      <c r="K20" s="148" t="n"/>
      <c r="L20" s="149" t="n"/>
      <c r="M20" s="43" t="n"/>
      <c r="N20" s="43" t="n"/>
      <c r="O20" s="43" t="n"/>
      <c r="P20" s="43" t="n"/>
    </row>
    <row r="21" ht="15" customFormat="1" customHeight="1" s="73">
      <c r="A21" s="56" t="inlineStr">
        <is>
          <t>PO No.</t>
        </is>
      </c>
      <c r="B21" s="56" t="inlineStr">
        <is>
          <t>수입신고번호</t>
        </is>
      </c>
      <c r="C21" s="158" t="inlineStr">
        <is>
          <t>수입신고 수리일자</t>
        </is>
      </c>
      <c r="D21" s="56" t="inlineStr">
        <is>
          <t>수입신고환율(₩)</t>
        </is>
      </c>
      <c r="E21" s="56" t="inlineStr">
        <is>
          <t>관세(KRW)</t>
        </is>
      </c>
      <c r="F21" s="56" t="inlineStr">
        <is>
          <t>부가세(KRW)</t>
        </is>
      </c>
      <c r="G21" s="56" t="inlineStr">
        <is>
          <t>관부가세 지급일</t>
        </is>
      </c>
      <c r="H21" s="56" t="inlineStr">
        <is>
          <t>관세사</t>
        </is>
      </c>
      <c r="I21" s="56" t="inlineStr">
        <is>
          <t>관세사비(KRW)</t>
        </is>
      </c>
      <c r="J21" s="56" t="inlineStr">
        <is>
          <t>운송사</t>
        </is>
      </c>
      <c r="K21" s="56" t="inlineStr">
        <is>
          <t>운송료(KRW)</t>
        </is>
      </c>
      <c r="L21" s="56" t="inlineStr">
        <is>
          <t>해외수수료(USD)</t>
        </is>
      </c>
      <c r="M21" s="65" t="n"/>
      <c r="N21" s="65" t="n"/>
      <c r="O21" s="65" t="n"/>
      <c r="P21" s="65" t="n"/>
    </row>
    <row r="22" ht="15" customHeight="1">
      <c r="A22" s="59" t="inlineStr">
        <is>
          <t>CPO-672</t>
        </is>
      </c>
      <c r="B22" s="59" t="inlineStr">
        <is>
          <t>1421425100608M</t>
        </is>
      </c>
      <c r="C22" s="74" t="inlineStr">
        <is>
          <t>2025-10-30</t>
        </is>
      </c>
      <c r="D22" s="202" t="n">
        <v>1433</v>
      </c>
      <c r="E22" s="68" t="n">
        <v>83050</v>
      </c>
      <c r="F22" s="68" t="n">
        <v>31860000</v>
      </c>
      <c r="G22" s="59" t="n"/>
      <c r="H22" s="59" t="inlineStr">
        <is>
          <t>아인관세사</t>
        </is>
      </c>
      <c r="I22" s="68" t="n">
        <v>667034</v>
      </c>
      <c r="J22" s="59" t="inlineStr">
        <is>
          <t>진로직스</t>
        </is>
      </c>
      <c r="K22" s="68" t="n">
        <v>2733444</v>
      </c>
      <c r="L22" s="69" t="n">
        <v>6124.77</v>
      </c>
      <c r="M22" s="65" t="n"/>
      <c r="N22" s="65" t="n"/>
      <c r="O22" s="65" t="n"/>
      <c r="P22" s="65" t="n"/>
    </row>
    <row r="23" ht="15" customHeight="1">
      <c r="A23" s="59" t="inlineStr">
        <is>
          <t>GPO-446-2</t>
        </is>
      </c>
      <c r="B23" s="59" t="inlineStr">
        <is>
          <t>1421425100667M</t>
        </is>
      </c>
      <c r="C23" s="74" t="inlineStr">
        <is>
          <t>2025-11-19</t>
        </is>
      </c>
      <c r="D23" s="202" t="n">
        <v>1465.2</v>
      </c>
      <c r="E23" s="68" t="n">
        <v>0</v>
      </c>
      <c r="F23" s="68" t="n">
        <v>28259850</v>
      </c>
      <c r="G23" s="59" t="inlineStr">
        <is>
          <t>2025-12-04</t>
        </is>
      </c>
      <c r="H23" s="59" t="inlineStr">
        <is>
          <t>아인관세사</t>
        </is>
      </c>
      <c r="I23" s="68" t="n">
        <v>595197</v>
      </c>
      <c r="J23" s="59" t="inlineStr">
        <is>
          <t>진로직스</t>
        </is>
      </c>
      <c r="K23" s="68" t="n">
        <v>4553880</v>
      </c>
      <c r="L23" s="69" t="n">
        <v>5310.14</v>
      </c>
      <c r="M23" s="65" t="n"/>
      <c r="N23" s="65" t="n"/>
      <c r="O23" s="65" t="n"/>
      <c r="P23" s="65" t="n"/>
    </row>
    <row r="24" ht="15" customHeight="1">
      <c r="A24" s="65" t="n"/>
      <c r="B24" s="65" t="n"/>
      <c r="C24" s="66" t="n"/>
      <c r="D24" s="65" t="n"/>
      <c r="E24" s="65" t="n"/>
      <c r="F24" s="65" t="n"/>
      <c r="G24" s="65" t="n"/>
      <c r="H24" s="65" t="n"/>
      <c r="I24" s="65" t="n"/>
      <c r="J24" s="65" t="n"/>
      <c r="K24" s="65" t="n"/>
      <c r="L24" s="65" t="n"/>
      <c r="M24" s="65" t="n"/>
      <c r="N24" s="65" t="n"/>
      <c r="O24" s="65" t="n"/>
      <c r="P24" s="65" t="n"/>
    </row>
    <row r="25" ht="15" customHeight="1">
      <c r="A25" s="252" t="inlineStr">
        <is>
          <t>&lt; GPO-446-2 상환 정산 및 수수료 명세 (신한은행, 출처: 은행 수수료 내역서 2026-06-09 조회) &gt;</t>
        </is>
      </c>
      <c r="B25" s="65" t="n"/>
      <c r="C25" s="66" t="n"/>
      <c r="D25" s="65" t="n"/>
      <c r="E25" s="65" t="n"/>
      <c r="F25" s="65" t="n"/>
      <c r="G25" s="65" t="n"/>
      <c r="H25" s="65" t="n"/>
      <c r="I25" s="65" t="n"/>
      <c r="J25" s="65" t="n"/>
      <c r="K25" s="65" t="n"/>
      <c r="L25" s="65" t="n"/>
      <c r="M25" s="65" t="n"/>
      <c r="N25" s="65" t="n"/>
      <c r="O25" s="65" t="n"/>
      <c r="P25" s="65" t="n"/>
    </row>
    <row r="26" ht="15" customHeight="1">
      <c r="A26" s="253" t="inlineStr">
        <is>
          <t>상환일</t>
        </is>
      </c>
      <c r="B26" s="253" t="inlineStr">
        <is>
          <t>상환원금(USD)</t>
        </is>
      </c>
      <c r="C26" s="253" t="inlineStr">
        <is>
          <t>상환환율(₩)</t>
        </is>
      </c>
      <c r="D26" s="253" t="inlineStr">
        <is>
          <t>상환금액(KRW)</t>
        </is>
      </c>
      <c r="E26" s="253" t="inlineStr">
        <is>
          <t>L/C No.</t>
        </is>
      </c>
      <c r="F26" s="253" t="inlineStr">
        <is>
          <t>회계처리(권장)</t>
        </is>
      </c>
      <c r="G26" s="65" t="n"/>
      <c r="H26" s="65" t="n"/>
      <c r="I26" s="65" t="n"/>
      <c r="J26" s="65" t="n"/>
      <c r="K26" s="65" t="n"/>
      <c r="L26" s="65" t="n"/>
      <c r="M26" s="65" t="n"/>
      <c r="N26" s="65" t="n"/>
      <c r="O26" s="65" t="n"/>
      <c r="P26" s="65" t="n"/>
    </row>
    <row r="27" ht="15" customHeight="1">
      <c r="A27" s="254" t="n">
        <v>46182</v>
      </c>
      <c r="B27" s="255" t="n">
        <v>190470</v>
      </c>
      <c r="C27" s="255" t="n">
        <v>1535.1</v>
      </c>
      <c r="D27" s="264" t="n">
        <v>292390497</v>
      </c>
      <c r="E27" s="257" t="inlineStr">
        <is>
          <t>M88JX2511NU00018</t>
        </is>
      </c>
      <c r="F27" s="258" t="inlineStr">
        <is>
          <t>차변 외화매입채무(USANCE) 190,470 USD 제거 + 외환차손익, 대변 보통예금 292,390,497</t>
        </is>
      </c>
      <c r="G27" s="71" t="n"/>
      <c r="H27" s="65" t="n"/>
      <c r="I27" s="65" t="n"/>
      <c r="J27" s="65" t="n"/>
      <c r="K27" s="65" t="n"/>
      <c r="L27" s="65" t="n"/>
      <c r="M27" s="65" t="n"/>
      <c r="N27" s="65" t="n"/>
      <c r="O27" s="65" t="n"/>
      <c r="P27" s="65" t="n"/>
    </row>
    <row r="28" ht="15" customHeight="1">
      <c r="A28" s="65" t="n"/>
      <c r="B28" s="65" t="n"/>
      <c r="C28" s="66" t="n"/>
      <c r="D28" s="65" t="n"/>
      <c r="E28" s="65" t="n"/>
      <c r="F28" s="70" t="n"/>
      <c r="G28" s="71" t="n"/>
      <c r="H28" s="65" t="n"/>
      <c r="I28" s="65" t="n"/>
      <c r="J28" s="65" t="n"/>
      <c r="K28" s="65" t="n"/>
      <c r="L28" s="65" t="n"/>
      <c r="M28" s="65" t="n"/>
      <c r="N28" s="65" t="n"/>
      <c r="O28" s="65" t="n"/>
      <c r="P28" s="65" t="n"/>
    </row>
    <row r="29" ht="15" customHeight="1">
      <c r="A29" s="253" t="inlineStr">
        <is>
          <t>No</t>
        </is>
      </c>
      <c r="B29" s="253" t="inlineStr">
        <is>
          <t>징수일</t>
        </is>
      </c>
      <c r="C29" s="253" t="inlineStr">
        <is>
          <t>수수료 구분</t>
        </is>
      </c>
      <c r="D29" s="253" t="inlineStr">
        <is>
          <t>이율(%)</t>
        </is>
      </c>
      <c r="E29" s="253" t="inlineStr">
        <is>
          <t>수수료 기간</t>
        </is>
      </c>
      <c r="F29" s="259" t="inlineStr">
        <is>
          <t>일수</t>
        </is>
      </c>
      <c r="G29" s="260" t="inlineStr">
        <is>
          <t>대상금액(USD)</t>
        </is>
      </c>
      <c r="H29" s="253" t="inlineStr">
        <is>
          <t>USD 상당액</t>
        </is>
      </c>
      <c r="I29" s="253" t="inlineStr">
        <is>
          <t>징수액(KRW)</t>
        </is>
      </c>
      <c r="J29" s="253" t="inlineStr">
        <is>
          <t>회계처리(권장)</t>
        </is>
      </c>
      <c r="K29" s="65" t="n"/>
      <c r="L29" s="65" t="n"/>
      <c r="M29" s="65" t="n"/>
      <c r="N29" s="65" t="n"/>
      <c r="O29" s="65" t="n"/>
      <c r="P29" s="65" t="n"/>
    </row>
    <row r="30" ht="15" customHeight="1">
      <c r="A30" s="257" t="n">
        <v>1</v>
      </c>
      <c r="B30" s="254" t="n">
        <v>45971</v>
      </c>
      <c r="C30" s="261" t="inlineStr">
        <is>
          <t>수입신용장 기간수수료(발행수수료, 360일 단위)</t>
        </is>
      </c>
      <c r="D30" s="262" t="n">
        <v>0.8</v>
      </c>
      <c r="E30" s="257" t="inlineStr">
        <is>
          <t>2025-11-10 ~ 2025-12-26</t>
        </is>
      </c>
      <c r="F30" s="263" t="n">
        <v>47</v>
      </c>
      <c r="G30" s="255" t="n">
        <v>190470</v>
      </c>
      <c r="H30" s="255" t="n">
        <v>198.94</v>
      </c>
      <c r="I30" s="264" t="n">
        <v>289132</v>
      </c>
      <c r="J30" s="257" t="inlineStr">
        <is>
          <t>지급수수료</t>
        </is>
      </c>
      <c r="K30" s="65" t="n"/>
      <c r="L30" s="65" t="n"/>
      <c r="M30" s="65" t="n"/>
      <c r="N30" s="65" t="n"/>
      <c r="O30" s="65" t="n"/>
      <c r="P30" s="65" t="n"/>
    </row>
    <row r="31" ht="15" customHeight="1">
      <c r="A31" s="257" t="n">
        <v>2</v>
      </c>
      <c r="B31" s="254" t="n">
        <v>45971</v>
      </c>
      <c r="C31" s="261" t="inlineStr">
        <is>
          <t>전신료(일반신용장 USANCE)</t>
        </is>
      </c>
      <c r="D31" s="262" t="n"/>
      <c r="E31" s="257" t="inlineStr"/>
      <c r="F31" s="263" t="n">
        <v>0</v>
      </c>
      <c r="G31" s="255" t="n"/>
      <c r="H31" s="255" t="n"/>
      <c r="I31" s="264" t="n">
        <v>13750</v>
      </c>
      <c r="J31" s="257" t="inlineStr">
        <is>
          <t>지급수수료</t>
        </is>
      </c>
      <c r="K31" s="65" t="n"/>
      <c r="L31" s="65" t="n"/>
      <c r="M31" s="65" t="n"/>
      <c r="N31" s="65" t="n"/>
      <c r="O31" s="65" t="n"/>
      <c r="P31" s="65" t="n"/>
    </row>
    <row r="32" ht="15" customHeight="1">
      <c r="A32" s="257" t="n">
        <v>3</v>
      </c>
      <c r="B32" s="254" t="n">
        <v>45980</v>
      </c>
      <c r="C32" s="261" t="inlineStr">
        <is>
          <t>수입화물선취보증서(L/G) 발급수수료</t>
        </is>
      </c>
      <c r="D32" s="262" t="n"/>
      <c r="E32" s="257" t="inlineStr"/>
      <c r="F32" s="263" t="n">
        <v>0</v>
      </c>
      <c r="G32" s="255" t="n"/>
      <c r="H32" s="255" t="n"/>
      <c r="I32" s="264" t="n">
        <v>5000</v>
      </c>
      <c r="J32" s="257" t="inlineStr">
        <is>
          <t>지급수수료</t>
        </is>
      </c>
      <c r="K32" s="65" t="n"/>
      <c r="L32" s="65" t="n"/>
      <c r="M32" s="65" t="n"/>
      <c r="N32" s="65" t="n"/>
      <c r="O32" s="65" t="n"/>
      <c r="P32" s="65" t="n"/>
    </row>
    <row r="33" ht="15" customHeight="1">
      <c r="A33" s="257" t="n">
        <v>4</v>
      </c>
      <c r="B33" s="254" t="n">
        <v>45999</v>
      </c>
      <c r="C33" s="261" t="inlineStr">
        <is>
          <t>수입화물선취보증료(외화)</t>
        </is>
      </c>
      <c r="D33" s="262" t="n">
        <v>3</v>
      </c>
      <c r="E33" s="257" t="inlineStr">
        <is>
          <t>2025-11-19 ~ 2025-12-07</t>
        </is>
      </c>
      <c r="F33" s="263" t="n">
        <v>19</v>
      </c>
      <c r="G33" s="255" t="n">
        <v>190470</v>
      </c>
      <c r="H33" s="255" t="n">
        <v>301.58</v>
      </c>
      <c r="I33" s="264" t="n">
        <v>442866</v>
      </c>
      <c r="J33" s="257" t="inlineStr">
        <is>
          <t>지급수수료</t>
        </is>
      </c>
      <c r="K33" s="65" t="n"/>
      <c r="L33" s="65" t="n"/>
      <c r="M33" s="65" t="n"/>
      <c r="N33" s="65" t="n"/>
      <c r="O33" s="65" t="n"/>
      <c r="P33" s="65" t="n"/>
    </row>
    <row r="34" ht="15" customHeight="1">
      <c r="A34" s="257" t="n">
        <v>5</v>
      </c>
      <c r="B34" s="254" t="n">
        <v>45999</v>
      </c>
      <c r="C34" s="261" t="inlineStr">
        <is>
          <t>수입인수수수료(360일 단위)</t>
        </is>
      </c>
      <c r="D34" s="262" t="n">
        <v>1.2</v>
      </c>
      <c r="E34" s="257" t="inlineStr">
        <is>
          <t>2025-12-08 ~ 2026-05-31</t>
        </is>
      </c>
      <c r="F34" s="263" t="n">
        <v>175</v>
      </c>
      <c r="G34" s="255" t="n">
        <v>190470</v>
      </c>
      <c r="H34" s="255" t="n">
        <v>1111.08</v>
      </c>
      <c r="I34" s="264" t="n">
        <v>1631613</v>
      </c>
      <c r="J34" s="257" t="inlineStr">
        <is>
          <t>이자비용</t>
        </is>
      </c>
      <c r="K34" s="65" t="n"/>
      <c r="L34" s="65" t="n"/>
      <c r="M34" s="65" t="n"/>
      <c r="N34" s="65" t="n"/>
      <c r="O34" s="65" t="n"/>
      <c r="P34" s="65" t="n"/>
    </row>
    <row r="35" ht="15" customHeight="1">
      <c r="A35" s="257" t="n">
        <v>6</v>
      </c>
      <c r="B35" s="254" t="n">
        <v>45999</v>
      </c>
      <c r="C35" s="261" t="inlineStr">
        <is>
          <t>수입기간수수료 환급(-)</t>
        </is>
      </c>
      <c r="D35" s="262" t="n">
        <v>0.8</v>
      </c>
      <c r="E35" s="257" t="inlineStr">
        <is>
          <t>2025-12-08 ~ 2025-12-26</t>
        </is>
      </c>
      <c r="F35" s="263" t="n">
        <v>19</v>
      </c>
      <c r="G35" s="255" t="n">
        <v>190470</v>
      </c>
      <c r="H35" s="255" t="n">
        <v>-80.42</v>
      </c>
      <c r="I35" s="264" t="n">
        <v>-116883</v>
      </c>
      <c r="J35" s="257" t="inlineStr">
        <is>
          <t>지급수수료 차감</t>
        </is>
      </c>
      <c r="K35" s="65" t="n"/>
      <c r="L35" s="65" t="n"/>
      <c r="M35" s="65" t="n"/>
      <c r="N35" s="65" t="n"/>
      <c r="O35" s="65" t="n"/>
      <c r="P35" s="65" t="n"/>
    </row>
    <row r="36" ht="15" customHeight="1">
      <c r="A36" s="257" t="n">
        <v>7</v>
      </c>
      <c r="B36" s="254" t="n">
        <v>46182</v>
      </c>
      <c r="C36" s="261" t="inlineStr">
        <is>
          <t>수입인수수수료(만기연장 8일분)</t>
        </is>
      </c>
      <c r="D36" s="262" t="n">
        <v>1.2</v>
      </c>
      <c r="E36" s="257" t="inlineStr">
        <is>
          <t>2026-06-01 ~ 2026-06-08</t>
        </is>
      </c>
      <c r="F36" s="263" t="n">
        <v>8</v>
      </c>
      <c r="G36" s="255" t="n">
        <v>190470</v>
      </c>
      <c r="H36" s="255" t="n">
        <v>50.79</v>
      </c>
      <c r="I36" s="264" t="n">
        <v>77732</v>
      </c>
      <c r="J36" s="257" t="inlineStr">
        <is>
          <t>이자비용</t>
        </is>
      </c>
      <c r="K36" s="65" t="n"/>
      <c r="L36" s="65" t="n"/>
      <c r="M36" s="65" t="n"/>
      <c r="N36" s="65" t="n"/>
      <c r="O36" s="65" t="n"/>
      <c r="P36" s="65" t="n"/>
    </row>
    <row r="37" ht="15" customHeight="1">
      <c r="A37" s="257" t="n">
        <v>8</v>
      </c>
      <c r="B37" s="254" t="n">
        <v>46182</v>
      </c>
      <c r="C37" s="261" t="inlineStr">
        <is>
          <t>지체료 (인수수수료 연체이자 7%, 8일)</t>
        </is>
      </c>
      <c r="D37" s="262" t="n">
        <v>7</v>
      </c>
      <c r="E37" s="257" t="inlineStr">
        <is>
          <t>2026-06-01 ~ 2026-06-08</t>
        </is>
      </c>
      <c r="F37" s="263" t="n">
        <v>8</v>
      </c>
      <c r="G37" s="255" t="n"/>
      <c r="H37" s="255" t="n"/>
      <c r="I37" s="264" t="n">
        <v>119</v>
      </c>
      <c r="J37" s="257" t="inlineStr">
        <is>
          <t>이자비용</t>
        </is>
      </c>
      <c r="K37" s="65" t="n"/>
      <c r="L37" s="65" t="n"/>
      <c r="M37" s="65" t="n"/>
      <c r="N37" s="65" t="n"/>
      <c r="O37" s="65" t="n"/>
      <c r="P37" s="65" t="n"/>
    </row>
    <row r="38" ht="15" customHeight="1">
      <c r="A38" s="257" t="n">
        <v>9</v>
      </c>
      <c r="B38" s="254" t="n">
        <v>46182</v>
      </c>
      <c r="C38" s="261" t="inlineStr">
        <is>
          <t>해외수수료 (해외은행 인수금융 이자 5.57788%, 180일)</t>
        </is>
      </c>
      <c r="D38" s="273" t="n">
        <v>5.57788</v>
      </c>
      <c r="E38" s="257" t="inlineStr">
        <is>
          <t>2025-12-11 ~ 2026-06-09</t>
        </is>
      </c>
      <c r="F38" s="263" t="n">
        <v>180</v>
      </c>
      <c r="G38" s="255" t="n">
        <v>190400</v>
      </c>
      <c r="H38" s="255" t="n">
        <v>5310.14</v>
      </c>
      <c r="I38" s="264" t="n">
        <v>8154250</v>
      </c>
      <c r="J38" s="257" t="inlineStr">
        <is>
          <t>이자비용</t>
        </is>
      </c>
      <c r="K38" s="65" t="n"/>
      <c r="L38" s="65" t="n"/>
      <c r="M38" s="65" t="n"/>
      <c r="N38" s="65" t="n"/>
      <c r="O38" s="65" t="n"/>
      <c r="P38" s="65" t="n"/>
    </row>
    <row r="39" ht="15" customHeight="1">
      <c r="A39" s="253" t="inlineStr">
        <is>
          <t>합계</t>
        </is>
      </c>
      <c r="B39" s="265" t="n"/>
      <c r="C39" s="266" t="n"/>
      <c r="D39" s="265" t="n"/>
      <c r="E39" s="265" t="n"/>
      <c r="F39" s="265" t="n"/>
      <c r="G39" s="268" t="n"/>
      <c r="H39" s="269" t="n">
        <v>6892.11</v>
      </c>
      <c r="I39" s="270" t="n">
        <v>10497579</v>
      </c>
      <c r="J39" s="253" t="inlineStr">
        <is>
          <t>이자비용 9,863,714 + 지급수수료 633,865</t>
        </is>
      </c>
      <c r="K39" s="65" t="n"/>
      <c r="L39" s="65" t="n"/>
      <c r="M39" s="65" t="n"/>
      <c r="N39" s="65" t="n"/>
      <c r="O39" s="65" t="n"/>
      <c r="P39" s="65" t="n"/>
    </row>
    <row r="40" ht="15" customHeight="1">
      <c r="A40" s="274" t="inlineStr">
        <is>
          <t>주1: USD 상당액 = 대상금액 x 이율 x 일수/360 (전신료, 발급수수료, 지체료는 KRW 정액 또는 KRW 기준 산출)</t>
        </is>
      </c>
      <c r="B40" s="65" t="n"/>
      <c r="C40" s="66" t="n"/>
      <c r="D40" s="65" t="n"/>
      <c r="E40" s="65" t="n"/>
      <c r="F40" s="65" t="n"/>
      <c r="G40" s="71" t="n"/>
      <c r="H40" s="65" t="n"/>
      <c r="I40" s="65" t="n"/>
      <c r="J40" s="65" t="n"/>
      <c r="K40" s="65" t="n"/>
      <c r="L40" s="65" t="n"/>
      <c r="M40" s="65" t="n"/>
      <c r="N40" s="65" t="n"/>
      <c r="O40" s="65" t="n"/>
      <c r="P40" s="65" t="n"/>
    </row>
    <row r="41" ht="15" customHeight="1">
      <c r="A41" s="274" t="inlineStr">
        <is>
          <t>주2: No.1~6 수수료는 징수일에 KRW 기징수, No.7~9는 상환일(6/9) 출금. 회계처리는 각 징수일자 전표로 계상</t>
        </is>
      </c>
      <c r="B41" s="65" t="n"/>
      <c r="C41" s="66" t="n"/>
      <c r="D41" s="65" t="n"/>
      <c r="E41" s="65" t="n"/>
      <c r="F41" s="65" t="n"/>
      <c r="G41" s="71" t="n"/>
      <c r="H41" s="65" t="n"/>
      <c r="I41" s="65" t="n"/>
      <c r="J41" s="65" t="n"/>
      <c r="K41" s="65" t="n"/>
      <c r="L41" s="65" t="n"/>
      <c r="M41" s="65" t="n"/>
      <c r="N41" s="65" t="n"/>
      <c r="O41" s="65" t="n"/>
      <c r="P41" s="65" t="n"/>
    </row>
    <row r="42" ht="15.75" customHeight="1">
      <c r="A42" s="275" t="inlineStr">
        <is>
          <t>주3: 원금 상환 확정 (외국환 거래계산서 2026-06-09, 승인번호 402875686, REF M88JX2511NU00018): 원금 USD 190,470.00 x 1,535.10 = 292,390,497원</t>
        </is>
      </c>
    </row>
    <row r="43" ht="15.75" customHeight="1">
      <c r="A43" s="275" t="inlineStr">
        <is>
          <t>주4: 6/9 실제 출금 합계 300,622,598원 = 원금분 292,468,348 (원금 + 인수수수료 77,732 + 지체료 119) + 해외수수료분 8,154,250</t>
        </is>
      </c>
    </row>
    <row r="44" ht="15.75" customHeight="1"/>
    <row r="45" ht="15.75" customHeight="1">
      <c r="A45" s="252" t="inlineStr">
        <is>
          <t>&lt; CPO-672 상환 정산 및 수수료 명세 (신한은행, 출처: 은행 수수료/인도 내역서 2026-06-16) &gt;</t>
        </is>
      </c>
      <c r="B45" s="65" t="n"/>
      <c r="C45" s="66" t="n"/>
      <c r="D45" s="65" t="n"/>
      <c r="E45" s="65" t="n"/>
      <c r="F45" s="65" t="n"/>
      <c r="G45" s="65" t="n"/>
      <c r="H45" s="65" t="n"/>
      <c r="I45" s="65" t="n"/>
      <c r="J45" s="65" t="n"/>
    </row>
    <row r="46" ht="15.75" customHeight="1">
      <c r="A46" s="253" t="inlineStr">
        <is>
          <t>상환일</t>
        </is>
      </c>
      <c r="B46" s="253" t="inlineStr">
        <is>
          <t>상환원금(USD)</t>
        </is>
      </c>
      <c r="C46" s="253" t="inlineStr">
        <is>
          <t>상환환율(₩)</t>
        </is>
      </c>
      <c r="D46" s="253" t="inlineStr">
        <is>
          <t>상환금액(KRW)</t>
        </is>
      </c>
      <c r="E46" s="253" t="inlineStr">
        <is>
          <t>L/C No.</t>
        </is>
      </c>
      <c r="F46" s="253" t="inlineStr">
        <is>
          <t>회계처리(권장)</t>
        </is>
      </c>
      <c r="G46" s="65" t="n"/>
      <c r="H46" s="65" t="n"/>
      <c r="I46" s="65" t="n"/>
      <c r="J46" s="65" t="n"/>
    </row>
    <row r="47" ht="15.75" customHeight="1">
      <c r="A47" s="254" t="n">
        <v>46189</v>
      </c>
      <c r="B47" s="255" t="n">
        <v>221868</v>
      </c>
      <c r="C47" s="255" t="n">
        <v>1517.25</v>
      </c>
      <c r="D47" s="264" t="n">
        <v>336629315</v>
      </c>
      <c r="E47" s="257" t="inlineStr">
        <is>
          <t>M88JX2510NU00018</t>
        </is>
      </c>
      <c r="F47" s="258" t="inlineStr">
        <is>
          <t>차변 외화매입채무(USANCE) 221,868 USD 제거 + 외환차손익, 대변 보통예금 336,629,315</t>
        </is>
      </c>
      <c r="G47" s="71" t="n"/>
      <c r="H47" s="65" t="n"/>
      <c r="I47" s="65" t="n"/>
      <c r="J47" s="65" t="n"/>
    </row>
    <row r="48" ht="15.75" customHeight="1">
      <c r="A48" s="65" t="n"/>
      <c r="B48" s="65" t="n"/>
      <c r="C48" s="66" t="n"/>
      <c r="D48" s="65" t="n"/>
      <c r="E48" s="65" t="n"/>
      <c r="F48" s="70" t="n"/>
      <c r="G48" s="71" t="n"/>
      <c r="H48" s="65" t="n"/>
      <c r="I48" s="65" t="n"/>
      <c r="J48" s="65" t="n"/>
    </row>
    <row r="49" ht="15.75" customFormat="1" customHeight="1" s="160">
      <c r="A49" s="253" t="inlineStr">
        <is>
          <t>No</t>
        </is>
      </c>
      <c r="B49" s="253" t="inlineStr">
        <is>
          <t>징수일</t>
        </is>
      </c>
      <c r="C49" s="253" t="inlineStr">
        <is>
          <t>수수료 구분</t>
        </is>
      </c>
      <c r="D49" s="253" t="inlineStr">
        <is>
          <t>이율(%)</t>
        </is>
      </c>
      <c r="E49" s="253" t="inlineStr">
        <is>
          <t>수수료 기간</t>
        </is>
      </c>
      <c r="F49" s="259" t="inlineStr">
        <is>
          <t>일수</t>
        </is>
      </c>
      <c r="G49" s="260" t="inlineStr">
        <is>
          <t>대상금액(USD)</t>
        </is>
      </c>
      <c r="H49" s="253" t="inlineStr">
        <is>
          <t>USD 상당액</t>
        </is>
      </c>
      <c r="I49" s="253" t="inlineStr">
        <is>
          <t>징수액(KRW)</t>
        </is>
      </c>
      <c r="J49" s="253" t="inlineStr">
        <is>
          <t>회계처리(권장)</t>
        </is>
      </c>
    </row>
    <row r="50" ht="15.75" customFormat="1" customHeight="1" s="160">
      <c r="A50" s="257" t="n">
        <v>1</v>
      </c>
      <c r="B50" s="254" t="n">
        <v>45946</v>
      </c>
      <c r="C50" s="261" t="inlineStr">
        <is>
          <t>수입신용장 기간수수료(발행수수료, 360일 단위)</t>
        </is>
      </c>
      <c r="D50" s="262" t="n">
        <v>0.8</v>
      </c>
      <c r="E50" s="257" t="inlineStr">
        <is>
          <t>2025-10-16 ~ 2025-12-19</t>
        </is>
      </c>
      <c r="F50" s="263" t="n">
        <v>65</v>
      </c>
      <c r="G50" s="255" t="n">
        <v>221868</v>
      </c>
      <c r="H50" s="255" t="n">
        <v>320.46</v>
      </c>
      <c r="I50" s="264" t="n">
        <v>454691</v>
      </c>
      <c r="J50" s="257" t="inlineStr">
        <is>
          <t>지급수수료</t>
        </is>
      </c>
    </row>
    <row r="51" ht="15.75" customFormat="1" customHeight="1" s="160">
      <c r="A51" s="257" t="n">
        <v>2</v>
      </c>
      <c r="B51" s="254" t="n">
        <v>45946</v>
      </c>
      <c r="C51" s="261" t="inlineStr">
        <is>
          <t>전신료(일반신용장 USANCE)</t>
        </is>
      </c>
      <c r="D51" s="262" t="n"/>
      <c r="E51" s="257" t="inlineStr"/>
      <c r="F51" s="263" t="n">
        <v>0</v>
      </c>
      <c r="G51" s="255" t="n"/>
      <c r="H51" s="255" t="n"/>
      <c r="I51" s="264" t="n">
        <v>13750</v>
      </c>
      <c r="J51" s="257" t="inlineStr">
        <is>
          <t>지급수수료</t>
        </is>
      </c>
    </row>
    <row r="52" ht="15.75" customFormat="1" customHeight="1" s="160">
      <c r="A52" s="257" t="n">
        <v>3</v>
      </c>
      <c r="B52" s="254" t="n">
        <v>45961</v>
      </c>
      <c r="C52" s="261" t="inlineStr">
        <is>
          <t>수입화물선취보증서(L/G) 발급수수료</t>
        </is>
      </c>
      <c r="D52" s="262" t="n"/>
      <c r="E52" s="257" t="inlineStr"/>
      <c r="F52" s="263" t="n">
        <v>0</v>
      </c>
      <c r="G52" s="255" t="n"/>
      <c r="H52" s="255" t="n"/>
      <c r="I52" s="264" t="n">
        <v>5000</v>
      </c>
      <c r="J52" s="257" t="inlineStr">
        <is>
          <t>지급수수료</t>
        </is>
      </c>
    </row>
    <row r="53" ht="15.75" customFormat="1" customHeight="1" s="160">
      <c r="A53" s="257" t="n">
        <v>4</v>
      </c>
      <c r="B53" s="254" t="n">
        <v>46007</v>
      </c>
      <c r="C53" s="261" t="inlineStr">
        <is>
          <t>수입화물선취보증료(외화)</t>
        </is>
      </c>
      <c r="D53" s="262" t="n">
        <v>3</v>
      </c>
      <c r="E53" s="257" t="inlineStr">
        <is>
          <t>2025-10-31 ~ 2025-12-15</t>
        </is>
      </c>
      <c r="F53" s="263" t="n">
        <v>46</v>
      </c>
      <c r="G53" s="255" t="n">
        <v>221868</v>
      </c>
      <c r="H53" s="255" t="n">
        <v>850.55</v>
      </c>
      <c r="I53" s="264" t="n">
        <v>1255244</v>
      </c>
      <c r="J53" s="257" t="inlineStr">
        <is>
          <t>지급수수료</t>
        </is>
      </c>
    </row>
    <row r="54" ht="15.75" customFormat="1" customHeight="1" s="160">
      <c r="A54" s="257" t="n">
        <v>5</v>
      </c>
      <c r="B54" s="254" t="n">
        <v>46007</v>
      </c>
      <c r="C54" s="261" t="inlineStr">
        <is>
          <t>수입인수수수료(360일 단위)</t>
        </is>
      </c>
      <c r="D54" s="262" t="n">
        <v>1.2</v>
      </c>
      <c r="E54" s="257" t="inlineStr">
        <is>
          <t>2025-12-16 ~ 2026-06-14</t>
        </is>
      </c>
      <c r="F54" s="263" t="n">
        <v>181</v>
      </c>
      <c r="G54" s="255" t="n">
        <v>221868</v>
      </c>
      <c r="H54" s="255" t="n">
        <v>1338.62</v>
      </c>
      <c r="I54" s="264" t="n">
        <v>1975645</v>
      </c>
      <c r="J54" s="257" t="inlineStr">
        <is>
          <t>이자비용</t>
        </is>
      </c>
    </row>
    <row r="55" ht="15.75" customFormat="1" customHeight="1" s="160">
      <c r="A55" s="257" t="n">
        <v>6</v>
      </c>
      <c r="B55" s="254" t="n">
        <v>46007</v>
      </c>
      <c r="C55" s="261" t="inlineStr">
        <is>
          <t>수입기간수수료 환급(-)</t>
        </is>
      </c>
      <c r="D55" s="262" t="n">
        <v>0.8</v>
      </c>
      <c r="E55" s="257" t="inlineStr">
        <is>
          <t>2025-12-16 ~ 2025-12-19</t>
        </is>
      </c>
      <c r="F55" s="263" t="n">
        <v>4</v>
      </c>
      <c r="G55" s="255" t="n">
        <v>221868</v>
      </c>
      <c r="H55" s="255" t="n">
        <v>-19.72</v>
      </c>
      <c r="I55" s="264" t="n">
        <v>-27981</v>
      </c>
      <c r="J55" s="257" t="inlineStr">
        <is>
          <t>지급수수료 차감</t>
        </is>
      </c>
    </row>
    <row r="56" ht="15.75" customFormat="1" customHeight="1" s="160">
      <c r="A56" s="257" t="n">
        <v>7</v>
      </c>
      <c r="B56" s="254" t="n">
        <v>46189</v>
      </c>
      <c r="C56" s="261" t="inlineStr">
        <is>
          <t>수입인수수수료(만기연장 1일분)</t>
        </is>
      </c>
      <c r="D56" s="262" t="n">
        <v>1.2</v>
      </c>
      <c r="E56" s="257" t="inlineStr">
        <is>
          <t>2026-06-15 ~ 2026-06-15</t>
        </is>
      </c>
      <c r="F56" s="263" t="n">
        <v>1</v>
      </c>
      <c r="G56" s="255" t="n">
        <v>221868</v>
      </c>
      <c r="H56" s="255" t="n">
        <v>7.4</v>
      </c>
      <c r="I56" s="264" t="n">
        <v>11186</v>
      </c>
      <c r="J56" s="257" t="inlineStr">
        <is>
          <t>이자비용</t>
        </is>
      </c>
    </row>
    <row r="57" ht="15.75" customFormat="1" customHeight="1" s="160">
      <c r="A57" s="257" t="n">
        <v>8</v>
      </c>
      <c r="B57" s="254" t="n">
        <v>46189</v>
      </c>
      <c r="C57" s="261" t="inlineStr">
        <is>
          <t>해외수수료(해외은행 인수금융 이자)</t>
        </is>
      </c>
      <c r="D57" s="262" t="n"/>
      <c r="E57" s="257" t="inlineStr">
        <is>
          <t>2025-12-19 인도 ~ 2026-06-16</t>
        </is>
      </c>
      <c r="F57" s="263" t="n">
        <v>180</v>
      </c>
      <c r="G57" s="255" t="n">
        <v>221868</v>
      </c>
      <c r="H57" s="255" t="n">
        <v>6124.77</v>
      </c>
      <c r="I57" s="264" t="n">
        <v>9292540</v>
      </c>
      <c r="J57" s="257" t="inlineStr">
        <is>
          <t>이자비용</t>
        </is>
      </c>
    </row>
    <row r="58" ht="15.75" customFormat="1" customHeight="1" s="160">
      <c r="A58" s="253" t="inlineStr">
        <is>
          <t>합계</t>
        </is>
      </c>
      <c r="B58" s="265" t="n"/>
      <c r="C58" s="266" t="n"/>
      <c r="D58" s="265" t="n"/>
      <c r="E58" s="265" t="n"/>
      <c r="F58" s="265" t="n"/>
      <c r="G58" s="268" t="n"/>
      <c r="H58" s="269" t="n">
        <v>8622.08</v>
      </c>
      <c r="I58" s="270" t="n">
        <v>12980075</v>
      </c>
      <c r="J58" s="253" t="inlineStr">
        <is>
          <t>이자비용 11,279,371 + 지급수수료 1,700,704</t>
        </is>
      </c>
    </row>
    <row r="59" ht="15.75" customFormat="1" customHeight="1" s="160">
      <c r="A59" s="274" t="inlineStr">
        <is>
          <t>주1: USD 상당액 = 대상금액 x 이율 x 일수/360 (전신료, L/G 발급료는 KRW 정액)</t>
        </is>
      </c>
      <c r="B59" s="65" t="n"/>
      <c r="C59" s="66" t="n"/>
      <c r="D59" s="65" t="n"/>
      <c r="E59" s="65" t="n"/>
      <c r="F59" s="65" t="n"/>
      <c r="G59" s="71" t="n"/>
      <c r="H59" s="65" t="n"/>
      <c r="I59" s="65" t="n"/>
      <c r="J59" s="65" t="n"/>
    </row>
    <row r="60" ht="15.75" customFormat="1" customHeight="1" s="160">
      <c r="A60" s="274" t="inlineStr">
        <is>
          <t>주2: No.1~6 수수료는 징수일에 KRW 기징수, No.7(만기연장)·해외수수료는 상환일(6/16) 출금. 회계처리는 각 징수일자 전표로 계상</t>
        </is>
      </c>
      <c r="B60" s="65" t="n"/>
      <c r="C60" s="66" t="n"/>
      <c r="D60" s="65" t="n"/>
      <c r="E60" s="65" t="n"/>
      <c r="F60" s="65" t="n"/>
      <c r="G60" s="71" t="n"/>
      <c r="H60" s="65" t="n"/>
      <c r="I60" s="65" t="n"/>
      <c r="J60" s="65" t="n"/>
    </row>
    <row r="61" ht="15.75" customFormat="1" customHeight="1" s="160">
      <c r="A61" s="274" t="inlineStr">
        <is>
          <t>주3: 원금 상환 (외국환 거래표 2026-06-16, REF M88JX2510NU00018): 원금 USD 221,868.00 x 적용환율 1,517.25 = 원화 336,629,315 (은행 실제 출금액)</t>
        </is>
      </c>
      <c r="B61" s="65" t="n"/>
      <c r="C61" s="66" t="n"/>
      <c r="D61" s="65" t="n"/>
      <c r="E61" s="65" t="n"/>
      <c r="F61" s="65" t="n"/>
      <c r="G61" s="71" t="n"/>
      <c r="H61" s="65" t="n"/>
      <c r="I61" s="65" t="n"/>
      <c r="J61" s="65" t="n"/>
    </row>
    <row r="62" ht="15.75" customFormat="1" customHeight="1" s="160">
      <c r="A62" s="274" t="inlineStr">
        <is>
          <t>주4: 6/16 실제 출금 합계 345,933,041원 = 원금 336,629,315 + 만기연장 인수수수료 11,186 + 해외수수료 9,292,540</t>
        </is>
      </c>
      <c r="B62" s="65" t="n"/>
      <c r="C62" s="66" t="n"/>
      <c r="D62" s="65" t="n"/>
      <c r="E62" s="65" t="n"/>
      <c r="F62" s="65" t="n"/>
      <c r="G62" s="71" t="n"/>
      <c r="H62" s="65" t="n"/>
      <c r="I62" s="65" t="n"/>
      <c r="J62" s="65" t="n"/>
    </row>
    <row r="63" ht="15.75" customFormat="1" customHeight="1" s="160">
      <c r="A63" s="274" t="inlineStr">
        <is>
          <t>주5: 해외수수료 KRW 9,292,540은 USD 6,124.77 x 1,517.20 환산 추정 (은행 명세상 KRW 미표기). lcCustomsData 해외수수료(USD 6,124.77)와 일치</t>
        </is>
      </c>
      <c r="B63" s="65" t="n"/>
      <c r="C63" s="66" t="n"/>
      <c r="D63" s="65" t="n"/>
      <c r="E63" s="65" t="n"/>
      <c r="F63" s="65" t="n"/>
      <c r="G63" s="71" t="n"/>
      <c r="H63" s="65" t="n"/>
      <c r="I63" s="65" t="n"/>
      <c r="J63" s="65" t="n"/>
    </row>
    <row r="64" ht="15.75" customFormat="1" customHeight="1" s="160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>
      <c r="M71" s="40" t="n"/>
    </row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Format="1" customHeight="1" s="160"/>
    <row r="82" ht="15.75" customFormat="1" customHeight="1" s="160"/>
    <row r="83" ht="15.75" customFormat="1" customHeight="1" s="160"/>
    <row r="84" ht="15.75" customFormat="1" customHeight="1" s="160"/>
    <row r="85" ht="15.75" customFormat="1" customHeight="1" s="160"/>
    <row r="86" ht="15.75" customFormat="1" customHeight="1" s="160"/>
    <row r="87" ht="15.75" customFormat="1" customHeight="1" s="160"/>
    <row r="88" ht="15.75" customFormat="1" customHeight="1" s="160"/>
    <row r="89" ht="15.75" customFormat="1" customHeight="1" s="160"/>
    <row r="90" ht="15.75" customFormat="1" customHeight="1" s="160"/>
    <row r="91" ht="15.75" customFormat="1" customHeight="1" s="160"/>
    <row r="92" ht="15.75" customFormat="1" customHeight="1" s="160"/>
    <row r="93" ht="15.75" customFormat="1" customHeight="1" s="160"/>
    <row r="94" ht="15.75" customFormat="1" customHeight="1" s="160"/>
    <row r="95" ht="15.75" customFormat="1" customHeight="1" s="160"/>
    <row r="96" ht="15.75" customFormat="1" customHeight="1" s="160"/>
    <row r="97" ht="15.75" customFormat="1" customHeight="1" s="160"/>
    <row r="98" ht="15.75" customFormat="1" customHeight="1" s="160"/>
    <row r="99" ht="15.75" customFormat="1" customHeight="1" s="160"/>
    <row r="100" ht="15.75" customFormat="1" customHeight="1" s="160"/>
    <row r="101" ht="15.75" customFormat="1" customHeight="1" s="160"/>
    <row r="102" ht="15.75" customFormat="1" customHeight="1" s="160"/>
    <row r="103" ht="15.75" customFormat="1" customHeight="1" s="160"/>
    <row r="104" ht="15.75" customFormat="1" customHeight="1" s="160"/>
    <row r="105" ht="15.75" customFormat="1" customHeight="1" s="160"/>
    <row r="106" ht="15.75" customFormat="1" customHeight="1" s="160"/>
    <row r="107" ht="15.75" customFormat="1" customHeight="1" s="160"/>
    <row r="108" ht="15.75" customFormat="1" customHeight="1" s="160"/>
    <row r="109" ht="15.75" customFormat="1" customHeight="1" s="160"/>
    <row r="110" ht="15.75" customFormat="1" customHeight="1" s="160"/>
    <row r="111" ht="15.75" customFormat="1" customHeight="1" s="160"/>
    <row r="112" ht="15.75" customFormat="1" customHeight="1" s="160"/>
    <row r="113" ht="15.75" customFormat="1" customHeight="1" s="160"/>
    <row r="114" ht="15.75" customFormat="1" customHeight="1" s="160"/>
    <row r="115" ht="15.75" customFormat="1" customHeight="1" s="160"/>
    <row r="116" ht="15.75" customFormat="1" customHeight="1" s="160"/>
    <row r="117" ht="15.75" customFormat="1" customHeight="1" s="160"/>
    <row r="118" ht="15.75" customFormat="1" customHeight="1" s="160"/>
    <row r="119" ht="15.75" customFormat="1" customHeight="1" s="160"/>
    <row r="120" ht="15.75" customFormat="1" customHeight="1" s="160"/>
    <row r="121" ht="15.75" customFormat="1" customHeight="1" s="160"/>
    <row r="122" ht="15.75" customFormat="1" customHeight="1" s="160"/>
    <row r="123" ht="15.75" customFormat="1" customHeight="1" s="160"/>
    <row r="124" ht="15.75" customFormat="1" customHeight="1" s="160"/>
    <row r="125" ht="15.75" customFormat="1" customHeight="1" s="160"/>
    <row r="126" ht="15.75" customFormat="1" customHeight="1" s="160"/>
    <row r="127" ht="15.75" customFormat="1" customHeight="1" s="160"/>
    <row r="128" ht="15.75" customFormat="1" customHeight="1" s="160"/>
    <row r="129" ht="15.75" customFormat="1" customHeight="1" s="160"/>
    <row r="130" ht="15.75" customFormat="1" customHeight="1" s="160"/>
    <row r="131" ht="15.75" customFormat="1" customHeight="1" s="160"/>
    <row r="132" ht="15.75" customFormat="1" customHeight="1" s="160"/>
    <row r="133" ht="15.75" customFormat="1" customHeight="1" s="160"/>
    <row r="134" ht="15.75" customFormat="1" customHeight="1" s="160"/>
    <row r="135" ht="15.75" customFormat="1" customHeight="1" s="160"/>
    <row r="136" ht="15.75" customFormat="1" customHeight="1" s="160"/>
    <row r="137" ht="15.75" customFormat="1" customHeight="1" s="160"/>
    <row r="138" ht="15.75" customFormat="1" customHeight="1" s="160"/>
    <row r="139" ht="15.75" customFormat="1" customHeight="1" s="160"/>
    <row r="140" ht="15.75" customFormat="1" customHeight="1" s="160"/>
    <row r="141" ht="15.75" customFormat="1" customHeight="1" s="160"/>
    <row r="142" ht="15.75" customFormat="1" customHeight="1" s="160"/>
    <row r="143" ht="15.75" customFormat="1" customHeight="1" s="160"/>
    <row r="144" ht="15.75" customFormat="1" customHeight="1" s="160"/>
    <row r="145" ht="15.75" customFormat="1" customHeight="1" s="160"/>
    <row r="146" ht="15.75" customFormat="1" customHeight="1" s="160"/>
    <row r="147" ht="15.75" customFormat="1" customHeight="1" s="160"/>
    <row r="148" ht="15.75" customFormat="1" customHeight="1" s="160"/>
    <row r="149" ht="15.75" customFormat="1" customHeight="1" s="160"/>
    <row r="150" ht="15.75" customFormat="1" customHeight="1" s="160"/>
    <row r="151" ht="15.75" customFormat="1" customHeight="1" s="160"/>
    <row r="152" ht="15.75" customFormat="1" customHeight="1" s="160"/>
    <row r="153" ht="15.75" customFormat="1" customHeight="1" s="160"/>
    <row r="154" ht="15.75" customFormat="1" customHeight="1" s="160"/>
    <row r="155" ht="15.75" customFormat="1" customHeight="1" s="160"/>
    <row r="156" ht="15.75" customFormat="1" customHeight="1" s="160"/>
    <row r="157" ht="15.75" customFormat="1" customHeight="1" s="160"/>
    <row r="158" ht="15.75" customFormat="1" customHeight="1" s="160"/>
    <row r="159" ht="15.75" customFormat="1" customHeight="1" s="160"/>
    <row r="160" ht="15.75" customFormat="1" customHeight="1" s="160"/>
    <row r="161" ht="15.75" customFormat="1" customHeight="1" s="160"/>
    <row r="162" ht="15.75" customFormat="1" customHeight="1" s="160"/>
    <row r="163" ht="15.75" customFormat="1" customHeight="1" s="160"/>
    <row r="164" ht="15.75" customFormat="1" customHeight="1" s="160"/>
    <row r="165" ht="15.75" customFormat="1" customHeight="1" s="160"/>
    <row r="166" ht="15.75" customFormat="1" customHeight="1" s="160"/>
    <row r="167" ht="15.75" customFormat="1" customHeight="1" s="160"/>
    <row r="168" ht="15.75" customFormat="1" customHeight="1" s="160"/>
    <row r="169" ht="15.75" customFormat="1" customHeight="1" s="160"/>
    <row r="170" ht="15.75" customFormat="1" customHeight="1" s="160"/>
    <row r="171" ht="15.75" customFormat="1" customHeight="1" s="160"/>
    <row r="172" ht="15.75" customFormat="1" customHeight="1" s="160"/>
    <row r="173" ht="15.75" customFormat="1" customHeight="1" s="160"/>
    <row r="174" ht="15.75" customFormat="1" customHeight="1" s="160"/>
    <row r="175" ht="15.75" customFormat="1" customHeight="1" s="160"/>
    <row r="176" ht="15.75" customFormat="1" customHeight="1" s="160"/>
    <row r="177" ht="15.75" customFormat="1" customHeight="1" s="160"/>
    <row r="178" ht="15.75" customFormat="1" customHeight="1" s="160"/>
    <row r="179" ht="15.75" customFormat="1" customHeight="1" s="160"/>
    <row r="180" ht="15.75" customFormat="1" customHeight="1" s="160"/>
    <row r="181" ht="15.75" customFormat="1" customHeight="1" s="160"/>
    <row r="182" ht="15.75" customFormat="1" customHeight="1" s="160"/>
    <row r="183" ht="15.75" customFormat="1" customHeight="1" s="160"/>
    <row r="184" ht="15.75" customFormat="1" customHeight="1" s="160"/>
    <row r="185" ht="15.75" customFormat="1" customHeight="1" s="160"/>
    <row r="186" ht="15.75" customFormat="1" customHeight="1" s="160"/>
    <row r="187" ht="15.75" customFormat="1" customHeight="1" s="160"/>
    <row r="188" ht="15.75" customFormat="1" customHeight="1" s="160"/>
    <row r="189" ht="15.75" customFormat="1" customHeight="1" s="160"/>
    <row r="190" ht="15.75" customFormat="1" customHeight="1" s="160"/>
    <row r="191" ht="15.75" customFormat="1" customHeight="1" s="160"/>
    <row r="192" ht="15.75" customFormat="1" customHeight="1" s="160"/>
    <row r="193" ht="15.75" customFormat="1" customHeight="1" s="160"/>
    <row r="194" ht="15.75" customFormat="1" customHeight="1" s="160"/>
    <row r="195" ht="15.75" customFormat="1" customHeight="1" s="160"/>
    <row r="196" ht="15.75" customFormat="1" customHeight="1" s="160"/>
    <row r="197" ht="15.75" customFormat="1" customHeight="1" s="160"/>
    <row r="198" ht="15.75" customFormat="1" customHeight="1" s="160"/>
    <row r="199" ht="15.75" customFormat="1" customHeight="1" s="160"/>
    <row r="200" ht="15.75" customFormat="1" customHeight="1" s="160"/>
    <row r="201" ht="15.75" customFormat="1" customHeight="1" s="160"/>
    <row r="202" ht="15.75" customFormat="1" customHeight="1" s="160"/>
    <row r="203" ht="15.75" customFormat="1" customHeight="1" s="160"/>
    <row r="204" ht="15.75" customFormat="1" customHeight="1" s="160"/>
    <row r="205" ht="15.75" customFormat="1" customHeight="1" s="160"/>
    <row r="206" ht="15.75" customFormat="1" customHeight="1" s="160"/>
    <row r="207" ht="15.75" customFormat="1" customHeight="1" s="160"/>
    <row r="208" ht="15.75" customFormat="1" customHeight="1" s="160"/>
    <row r="209" ht="15.75" customFormat="1" customHeight="1" s="160"/>
    <row r="210" ht="15.75" customFormat="1" customHeight="1" s="160"/>
    <row r="211" ht="15.75" customFormat="1" customHeight="1" s="160"/>
    <row r="212" ht="15.75" customFormat="1" customHeight="1" s="160"/>
    <row r="213" ht="15.75" customFormat="1" customHeight="1" s="160"/>
    <row r="214" ht="15.75" customFormat="1" customHeight="1" s="160"/>
    <row r="215" ht="15.75" customFormat="1" customHeight="1" s="160"/>
    <row r="216" ht="15.75" customFormat="1" customHeight="1" s="160"/>
    <row r="217" ht="15.75" customFormat="1" customHeight="1" s="160"/>
    <row r="218" ht="15.75" customFormat="1" customHeight="1" s="160"/>
    <row r="219" ht="15.75" customFormat="1" customHeight="1" s="160"/>
    <row r="220" ht="15.75" customFormat="1" customHeight="1" s="160"/>
    <row r="221" ht="15.75" customFormat="1" customHeight="1" s="160"/>
    <row r="222" ht="15.75" customFormat="1" customHeight="1" s="160"/>
    <row r="223" ht="15.75" customFormat="1" customHeight="1" s="160"/>
    <row r="224" ht="15.75" customFormat="1" customHeight="1" s="160"/>
    <row r="225" ht="15.75" customFormat="1" customHeight="1" s="160"/>
    <row r="226" ht="15.75" customFormat="1" customHeight="1" s="160"/>
    <row r="227" ht="15.75" customFormat="1" customHeight="1" s="160"/>
    <row r="228" ht="15.75" customFormat="1" customHeight="1" s="160"/>
    <row r="229" ht="15.75" customFormat="1" customHeight="1" s="160"/>
    <row r="230" ht="15.75" customFormat="1" customHeight="1" s="160"/>
    <row r="231" ht="15.75" customFormat="1" customHeight="1" s="160"/>
    <row r="232" ht="15.75" customFormat="1" customHeight="1" s="160"/>
    <row r="233" ht="15.75" customFormat="1" customHeight="1" s="160"/>
    <row r="234" ht="15.75" customFormat="1" customHeight="1" s="160"/>
    <row r="235" ht="15.75" customFormat="1" customHeight="1" s="160"/>
    <row r="236" ht="15.75" customFormat="1" customHeight="1" s="160"/>
    <row r="237" ht="15.75" customFormat="1" customHeight="1" s="160"/>
    <row r="238" ht="15.75" customFormat="1" customHeight="1" s="160"/>
    <row r="239" ht="15.75" customFormat="1" customHeight="1" s="160"/>
    <row r="240" ht="15.75" customFormat="1" customHeight="1" s="160"/>
    <row r="241" ht="15.75" customFormat="1" customHeight="1" s="160"/>
    <row r="242" ht="15.75" customFormat="1" customHeight="1" s="160"/>
    <row r="243" ht="15.75" customFormat="1" customHeight="1" s="160"/>
    <row r="244" ht="15.75" customFormat="1" customHeight="1" s="160"/>
    <row r="245" ht="15.75" customFormat="1" customHeight="1" s="160"/>
    <row r="246" ht="15.75" customFormat="1" customHeight="1" s="160"/>
    <row r="247" ht="15.75" customFormat="1" customHeight="1" s="160"/>
    <row r="248" ht="15.75" customFormat="1" customHeight="1" s="160"/>
    <row r="249" ht="15.75" customFormat="1" customHeight="1" s="160"/>
    <row r="250" ht="15.75" customFormat="1" customHeight="1" s="160"/>
    <row r="251" ht="15.75" customFormat="1" customHeight="1" s="160"/>
    <row r="252" ht="15.75" customFormat="1" customHeight="1" s="160"/>
    <row r="253" ht="15.75" customFormat="1" customHeight="1" s="160"/>
    <row r="254" ht="15.75" customFormat="1" customHeight="1" s="160"/>
    <row r="255" ht="15.75" customFormat="1" customHeight="1" s="160"/>
    <row r="256" ht="15.75" customFormat="1" customHeight="1" s="160"/>
    <row r="257" ht="15.75" customFormat="1" customHeight="1" s="160"/>
    <row r="258" ht="15.75" customFormat="1" customHeight="1" s="160"/>
    <row r="259" ht="15.75" customFormat="1" customHeight="1" s="160"/>
    <row r="260" ht="15.75" customFormat="1" customHeight="1" s="160"/>
    <row r="261" ht="15.75" customFormat="1" customHeight="1" s="160"/>
    <row r="262" ht="15.75" customFormat="1" customHeight="1" s="160"/>
    <row r="263" ht="15.75" customFormat="1" customHeight="1" s="160"/>
    <row r="264" ht="15.75" customFormat="1" customHeight="1" s="160"/>
    <row r="265" ht="15.75" customFormat="1" customHeight="1" s="160"/>
    <row r="266" ht="15.75" customFormat="1" customHeight="1" s="160"/>
    <row r="267" ht="15.75" customFormat="1" customHeight="1" s="160"/>
    <row r="268" ht="15.75" customFormat="1" customHeight="1" s="160"/>
    <row r="269" ht="15.75" customFormat="1" customHeight="1" s="160"/>
    <row r="270" ht="15.75" customFormat="1" customHeight="1" s="160"/>
    <row r="271" ht="15.75" customFormat="1" customHeight="1" s="160"/>
    <row r="272" ht="15.75" customFormat="1" customHeight="1" s="160"/>
    <row r="273" ht="15.75" customFormat="1" customHeight="1" s="160"/>
    <row r="274" ht="15.75" customFormat="1" customHeight="1" s="160"/>
    <row r="275" ht="15.75" customFormat="1" customHeight="1" s="160"/>
    <row r="276" ht="15.75" customFormat="1" customHeight="1" s="160"/>
    <row r="277" ht="15.75" customFormat="1" customHeight="1" s="160"/>
    <row r="278" ht="15.75" customFormat="1" customHeight="1" s="160"/>
    <row r="279" ht="15.75" customFormat="1" customHeight="1" s="160"/>
    <row r="280" ht="15.75" customFormat="1" customHeight="1" s="160"/>
    <row r="281" ht="15.75" customFormat="1" customHeight="1" s="160"/>
    <row r="282" ht="15.75" customFormat="1" customHeight="1" s="160"/>
    <row r="283" ht="15.75" customFormat="1" customHeight="1" s="160"/>
    <row r="284" ht="15.75" customFormat="1" customHeight="1" s="160"/>
    <row r="285" ht="15.75" customFormat="1" customHeight="1" s="160"/>
    <row r="286" ht="15.75" customFormat="1" customHeight="1" s="160"/>
    <row r="287" ht="15.75" customFormat="1" customHeight="1" s="160"/>
    <row r="288" ht="15.75" customFormat="1" customHeight="1" s="160"/>
    <row r="289" ht="15.75" customFormat="1" customHeight="1" s="160"/>
    <row r="290" ht="15.75" customFormat="1" customHeight="1" s="160"/>
    <row r="291" ht="15.75" customFormat="1" customHeight="1" s="160"/>
    <row r="292" ht="15.75" customFormat="1" customHeight="1" s="160"/>
    <row r="293" ht="15.75" customFormat="1" customHeight="1" s="160"/>
    <row r="294" ht="15.75" customFormat="1" customHeight="1" s="160"/>
    <row r="295" ht="15.75" customFormat="1" customHeight="1" s="160"/>
    <row r="296" ht="15.75" customFormat="1" customHeight="1" s="160"/>
    <row r="297" ht="15.75" customFormat="1" customHeight="1" s="160"/>
    <row r="298" ht="15.75" customFormat="1" customHeight="1" s="160"/>
    <row r="299" ht="15.75" customFormat="1" customHeight="1" s="160"/>
    <row r="300" ht="15.75" customFormat="1" customHeight="1" s="160"/>
    <row r="301" ht="15.75" customFormat="1" customHeight="1" s="160"/>
    <row r="302" ht="15.75" customFormat="1" customHeight="1" s="160"/>
    <row r="303" ht="15.75" customFormat="1" customHeight="1" s="160"/>
    <row r="304" ht="15.75" customFormat="1" customHeight="1" s="160"/>
    <row r="305" ht="15.75" customFormat="1" customHeight="1" s="160"/>
    <row r="306" ht="15.75" customFormat="1" customHeight="1" s="160"/>
    <row r="307" ht="15.75" customFormat="1" customHeight="1" s="160"/>
    <row r="308" ht="15.75" customFormat="1" customHeight="1" s="160"/>
    <row r="309" ht="15.75" customFormat="1" customHeight="1" s="160"/>
    <row r="310" ht="15.75" customFormat="1" customHeight="1" s="160"/>
    <row r="311" ht="15.75" customFormat="1" customHeight="1" s="160"/>
    <row r="312" ht="15.75" customFormat="1" customHeight="1" s="160"/>
    <row r="313" ht="15.75" customFormat="1" customHeight="1" s="160"/>
    <row r="314" ht="15.75" customFormat="1" customHeight="1" s="160"/>
    <row r="315" ht="15.75" customFormat="1" customHeight="1" s="160"/>
    <row r="316" ht="15.75" customFormat="1" customHeight="1" s="160"/>
    <row r="317" ht="15.75" customFormat="1" customHeight="1" s="160"/>
    <row r="318" ht="15.75" customFormat="1" customHeight="1" s="160"/>
    <row r="319" ht="15.75" customFormat="1" customHeight="1" s="160"/>
    <row r="320" ht="15.75" customFormat="1" customHeight="1" s="160"/>
    <row r="321" ht="15.75" customFormat="1" customHeight="1" s="160"/>
    <row r="322" ht="15.75" customFormat="1" customHeight="1" s="160"/>
    <row r="323" ht="15.75" customFormat="1" customHeight="1" s="160"/>
    <row r="324" ht="15.75" customFormat="1" customHeight="1" s="160"/>
    <row r="325" ht="15.75" customFormat="1" customHeight="1" s="160"/>
    <row r="326" ht="15.75" customFormat="1" customHeight="1" s="160"/>
    <row r="327" ht="15.75" customFormat="1" customHeight="1" s="160"/>
    <row r="328" ht="15.75" customFormat="1" customHeight="1" s="160"/>
    <row r="329" ht="15.75" customFormat="1" customHeight="1" s="160"/>
    <row r="330" ht="15.75" customFormat="1" customHeight="1" s="160"/>
    <row r="331" ht="15.75" customFormat="1" customHeight="1" s="160"/>
    <row r="332" ht="15.75" customFormat="1" customHeight="1" s="160"/>
    <row r="333" ht="15.75" customFormat="1" customHeight="1" s="160"/>
    <row r="334" ht="15.75" customFormat="1" customHeight="1" s="160"/>
    <row r="335" ht="15.75" customFormat="1" customHeight="1" s="160"/>
    <row r="336" ht="15.75" customFormat="1" customHeight="1" s="160"/>
    <row r="337" ht="15.75" customFormat="1" customHeight="1" s="160"/>
    <row r="338" ht="15.75" customFormat="1" customHeight="1" s="160"/>
    <row r="339" ht="15.75" customFormat="1" customHeight="1" s="160"/>
    <row r="340" ht="15.75" customFormat="1" customHeight="1" s="160"/>
    <row r="341" ht="15.75" customFormat="1" customHeight="1" s="160"/>
    <row r="342" ht="15.75" customFormat="1" customHeight="1" s="160"/>
    <row r="343" ht="15.75" customFormat="1" customHeight="1" s="160"/>
    <row r="344" ht="15.75" customFormat="1" customHeight="1" s="160"/>
    <row r="345" ht="15.75" customFormat="1" customHeight="1" s="160"/>
    <row r="346" ht="15.75" customFormat="1" customHeight="1" s="160"/>
    <row r="347" ht="15.75" customFormat="1" customHeight="1" s="160"/>
    <row r="348" ht="15.75" customFormat="1" customHeight="1" s="160"/>
    <row r="349" ht="15.75" customFormat="1" customHeight="1" s="160"/>
    <row r="350" ht="15.75" customFormat="1" customHeight="1" s="160"/>
    <row r="351" ht="15.75" customFormat="1" customHeight="1" s="160"/>
    <row r="352" ht="15.75" customFormat="1" customHeight="1" s="160"/>
    <row r="353" ht="15.75" customFormat="1" customHeight="1" s="160"/>
    <row r="354" ht="15.75" customFormat="1" customHeight="1" s="160"/>
    <row r="355" ht="15.75" customFormat="1" customHeight="1" s="160"/>
    <row r="356" ht="15.75" customFormat="1" customHeight="1" s="160"/>
    <row r="357" ht="15.75" customFormat="1" customHeight="1" s="160"/>
    <row r="358" ht="15.75" customFormat="1" customHeight="1" s="160"/>
    <row r="359" ht="15.75" customFormat="1" customHeight="1" s="160"/>
    <row r="360" ht="15.75" customFormat="1" customHeight="1" s="160"/>
    <row r="361" ht="15.75" customFormat="1" customHeight="1" s="160"/>
    <row r="362" ht="15.75" customFormat="1" customHeight="1" s="160"/>
    <row r="363" ht="15.75" customFormat="1" customHeight="1" s="160"/>
    <row r="364" ht="15.75" customFormat="1" customHeight="1" s="160"/>
    <row r="365" ht="15.75" customFormat="1" customHeight="1" s="160"/>
    <row r="366" ht="15.75" customFormat="1" customHeight="1" s="160"/>
    <row r="367" ht="15.75" customFormat="1" customHeight="1" s="160"/>
    <row r="368" ht="15.75" customFormat="1" customHeight="1" s="160"/>
    <row r="369" ht="15.75" customFormat="1" customHeight="1" s="160"/>
    <row r="370" ht="15.75" customFormat="1" customHeight="1" s="160"/>
    <row r="371" ht="15.75" customFormat="1" customHeight="1" s="160"/>
    <row r="372" ht="15.75" customFormat="1" customHeight="1" s="160"/>
    <row r="373" ht="15.75" customFormat="1" customHeight="1" s="160"/>
    <row r="374" ht="15.75" customFormat="1" customHeight="1" s="160"/>
    <row r="375" ht="15.75" customFormat="1" customHeight="1" s="160"/>
    <row r="376" ht="15.75" customFormat="1" customHeight="1" s="160"/>
    <row r="377" ht="15.75" customFormat="1" customHeight="1" s="160"/>
    <row r="378" ht="15.75" customFormat="1" customHeight="1" s="160"/>
    <row r="379" ht="15.75" customFormat="1" customHeight="1" s="160"/>
    <row r="380" ht="15.75" customFormat="1" customHeight="1" s="160"/>
    <row r="381" ht="15.75" customFormat="1" customHeight="1" s="160"/>
    <row r="382" ht="15.75" customFormat="1" customHeight="1" s="160"/>
    <row r="383" ht="15.75" customFormat="1" customHeight="1" s="160"/>
    <row r="384" ht="15.75" customFormat="1" customHeight="1" s="160"/>
    <row r="385" ht="15.75" customFormat="1" customHeight="1" s="160"/>
    <row r="386" ht="15.75" customFormat="1" customHeight="1" s="160"/>
    <row r="387" ht="15.75" customFormat="1" customHeight="1" s="160"/>
    <row r="388" ht="15.75" customFormat="1" customHeight="1" s="160"/>
    <row r="389" ht="15.75" customFormat="1" customHeight="1" s="160"/>
    <row r="390" ht="15.75" customFormat="1" customHeight="1" s="160"/>
    <row r="391" ht="15.75" customFormat="1" customHeight="1" s="160"/>
    <row r="392" ht="15.75" customFormat="1" customHeight="1" s="160"/>
    <row r="393" ht="15.75" customFormat="1" customHeight="1" s="160"/>
    <row r="394" ht="15.75" customFormat="1" customHeight="1" s="160"/>
    <row r="395" ht="15.75" customFormat="1" customHeight="1" s="160"/>
    <row r="396" ht="15.75" customFormat="1" customHeight="1" s="160"/>
    <row r="397" ht="15.75" customFormat="1" customHeight="1" s="160"/>
    <row r="398" ht="15.75" customFormat="1" customHeight="1" s="160"/>
    <row r="399" ht="15.75" customFormat="1" customHeight="1" s="160"/>
    <row r="400" ht="15.75" customFormat="1" customHeight="1" s="160"/>
    <row r="401" ht="15.75" customFormat="1" customHeight="1" s="160"/>
    <row r="402" ht="15.75" customFormat="1" customHeight="1" s="160"/>
    <row r="403" ht="15.75" customFormat="1" customHeight="1" s="160"/>
    <row r="404" ht="15.75" customFormat="1" customHeight="1" s="160"/>
    <row r="405" ht="15.75" customFormat="1" customHeight="1" s="160"/>
    <row r="406" ht="15.75" customFormat="1" customHeight="1" s="160"/>
    <row r="407" ht="15.75" customFormat="1" customHeight="1" s="160"/>
    <row r="408" ht="15.75" customFormat="1" customHeight="1" s="160"/>
    <row r="409" ht="15.75" customFormat="1" customHeight="1" s="160"/>
    <row r="410" ht="15.75" customFormat="1" customHeight="1" s="160"/>
    <row r="411" ht="15.75" customFormat="1" customHeight="1" s="160"/>
    <row r="412" ht="15.75" customFormat="1" customHeight="1" s="160"/>
    <row r="413" ht="15.75" customFormat="1" customHeight="1" s="160"/>
    <row r="414" ht="15.75" customFormat="1" customHeight="1" s="160"/>
    <row r="415" ht="15.75" customFormat="1" customHeight="1" s="160"/>
    <row r="416" ht="15.75" customFormat="1" customHeight="1" s="160"/>
    <row r="417" ht="15.75" customFormat="1" customHeight="1" s="160"/>
    <row r="418" ht="15.75" customFormat="1" customHeight="1" s="160"/>
    <row r="419" ht="15.75" customFormat="1" customHeight="1" s="160"/>
    <row r="420" ht="15.75" customFormat="1" customHeight="1" s="160"/>
    <row r="421" ht="15.75" customFormat="1" customHeight="1" s="160"/>
    <row r="422" ht="15.75" customFormat="1" customHeight="1" s="160"/>
    <row r="423" ht="15.75" customFormat="1" customHeight="1" s="160"/>
    <row r="424" ht="15.75" customFormat="1" customHeight="1" s="160"/>
    <row r="425" ht="15.75" customFormat="1" customHeight="1" s="160"/>
    <row r="426" ht="15.75" customFormat="1" customHeight="1" s="160"/>
    <row r="427" ht="15.75" customFormat="1" customHeight="1" s="160"/>
    <row r="428" ht="15.75" customFormat="1" customHeight="1" s="160"/>
    <row r="429" ht="15.75" customFormat="1" customHeight="1" s="160"/>
    <row r="430" ht="15.75" customFormat="1" customHeight="1" s="160"/>
    <row r="431" ht="15.75" customFormat="1" customHeight="1" s="160"/>
    <row r="432" ht="15.75" customFormat="1" customHeight="1" s="160"/>
    <row r="433" ht="15.75" customFormat="1" customHeight="1" s="160"/>
    <row r="434" ht="15.75" customFormat="1" customHeight="1" s="160"/>
    <row r="435" ht="15.75" customFormat="1" customHeight="1" s="160"/>
    <row r="436" ht="15.75" customFormat="1" customHeight="1" s="160"/>
    <row r="437" ht="15.75" customFormat="1" customHeight="1" s="160"/>
    <row r="438" ht="15.75" customFormat="1" customHeight="1" s="160"/>
    <row r="439" ht="15.75" customFormat="1" customHeight="1" s="160"/>
    <row r="440" ht="15.75" customFormat="1" customHeight="1" s="160"/>
    <row r="441" ht="15.75" customFormat="1" customHeight="1" s="160"/>
    <row r="442" ht="15.75" customFormat="1" customHeight="1" s="160"/>
    <row r="443" ht="15.75" customFormat="1" customHeight="1" s="160"/>
    <row r="444" ht="15.75" customFormat="1" customHeight="1" s="160"/>
    <row r="445" ht="15.75" customFormat="1" customHeight="1" s="160"/>
    <row r="446" ht="15.75" customFormat="1" customHeight="1" s="160"/>
    <row r="447" ht="15.75" customFormat="1" customHeight="1" s="160"/>
    <row r="448" ht="15.75" customFormat="1" customHeight="1" s="160"/>
    <row r="449" ht="15.75" customFormat="1" customHeight="1" s="160"/>
    <row r="450" ht="15.75" customFormat="1" customHeight="1" s="160"/>
    <row r="451" ht="15.75" customFormat="1" customHeight="1" s="160"/>
    <row r="452" ht="15.75" customFormat="1" customHeight="1" s="160"/>
    <row r="453" ht="15.75" customFormat="1" customHeight="1" s="160"/>
    <row r="454" ht="15.75" customFormat="1" customHeight="1" s="160"/>
    <row r="455" ht="15.75" customFormat="1" customHeight="1" s="160"/>
    <row r="456" ht="15.75" customFormat="1" customHeight="1" s="160"/>
    <row r="457" ht="15.75" customFormat="1" customHeight="1" s="160"/>
    <row r="458" ht="15.75" customFormat="1" customHeight="1" s="160"/>
    <row r="459" ht="15.75" customFormat="1" customHeight="1" s="160"/>
    <row r="460" ht="15.75" customFormat="1" customHeight="1" s="160"/>
    <row r="461" ht="15.75" customFormat="1" customHeight="1" s="160"/>
    <row r="462" ht="15.75" customFormat="1" customHeight="1" s="160"/>
    <row r="463" ht="15.75" customFormat="1" customHeight="1" s="160"/>
    <row r="464" ht="15.75" customFormat="1" customHeight="1" s="160"/>
    <row r="465" ht="15.75" customFormat="1" customHeight="1" s="160"/>
    <row r="466" ht="15.75" customFormat="1" customHeight="1" s="160"/>
    <row r="467" ht="15.75" customFormat="1" customHeight="1" s="160"/>
    <row r="468" ht="15.75" customFormat="1" customHeight="1" s="160"/>
    <row r="469" ht="15.75" customFormat="1" customHeight="1" s="160"/>
    <row r="470" ht="15.75" customFormat="1" customHeight="1" s="160"/>
    <row r="471" ht="15.75" customFormat="1" customHeight="1" s="160"/>
    <row r="472" ht="15.75" customFormat="1" customHeight="1" s="160"/>
    <row r="473" ht="15.75" customFormat="1" customHeight="1" s="160"/>
    <row r="474" ht="15.75" customFormat="1" customHeight="1" s="160"/>
    <row r="475" ht="15.75" customFormat="1" customHeight="1" s="160"/>
    <row r="476" ht="15.75" customFormat="1" customHeight="1" s="160"/>
    <row r="477" ht="15.75" customFormat="1" customHeight="1" s="160"/>
    <row r="478" ht="15.75" customFormat="1" customHeight="1" s="160"/>
    <row r="479" ht="15.75" customFormat="1" customHeight="1" s="160"/>
    <row r="480" ht="15.75" customFormat="1" customHeight="1" s="160"/>
    <row r="481" ht="15.75" customFormat="1" customHeight="1" s="160"/>
    <row r="482" ht="15.75" customFormat="1" customHeight="1" s="160"/>
    <row r="483" ht="15.75" customFormat="1" customHeight="1" s="160"/>
    <row r="484" ht="15.75" customFormat="1" customHeight="1" s="160"/>
    <row r="485" ht="15.75" customFormat="1" customHeight="1" s="160"/>
    <row r="486" ht="15.75" customFormat="1" customHeight="1" s="160"/>
    <row r="487" ht="15.75" customFormat="1" customHeight="1" s="160"/>
    <row r="488" ht="15.75" customFormat="1" customHeight="1" s="160"/>
    <row r="489" ht="15.75" customFormat="1" customHeight="1" s="160"/>
    <row r="490" ht="15.75" customFormat="1" customHeight="1" s="160"/>
    <row r="491" ht="15.75" customFormat="1" customHeight="1" s="160"/>
    <row r="492" ht="15.75" customFormat="1" customHeight="1" s="160"/>
    <row r="493" ht="15.75" customFormat="1" customHeight="1" s="160"/>
    <row r="494" ht="15.75" customFormat="1" customHeight="1" s="160"/>
    <row r="495" ht="15.75" customFormat="1" customHeight="1" s="160"/>
    <row r="496" ht="15.75" customFormat="1" customHeight="1" s="160"/>
    <row r="497" ht="15.75" customFormat="1" customHeight="1" s="160"/>
    <row r="498" ht="15.75" customFormat="1" customHeight="1" s="160"/>
    <row r="499" ht="15.75" customFormat="1" customHeight="1" s="160"/>
    <row r="500" ht="15.75" customFormat="1" customHeight="1" s="160"/>
    <row r="501" ht="15.75" customFormat="1" customHeight="1" s="160"/>
    <row r="502" ht="15.75" customFormat="1" customHeight="1" s="160"/>
    <row r="503" ht="15.75" customFormat="1" customHeight="1" s="160"/>
    <row r="504" ht="15.75" customFormat="1" customHeight="1" s="160"/>
    <row r="505" ht="15.75" customFormat="1" customHeight="1" s="160"/>
    <row r="506" ht="15.75" customFormat="1" customHeight="1" s="160"/>
    <row r="507" ht="15.75" customFormat="1" customHeight="1" s="160"/>
    <row r="508" ht="15.75" customFormat="1" customHeight="1" s="160"/>
    <row r="509" ht="15.75" customFormat="1" customHeight="1" s="160"/>
    <row r="510" ht="15.75" customFormat="1" customHeight="1" s="160"/>
    <row r="511" ht="15.75" customFormat="1" customHeight="1" s="160"/>
    <row r="512" ht="15.75" customFormat="1" customHeight="1" s="160"/>
    <row r="513" ht="15.75" customFormat="1" customHeight="1" s="160"/>
    <row r="514" ht="15.75" customFormat="1" customHeight="1" s="160"/>
    <row r="515" ht="15.75" customFormat="1" customHeight="1" s="160"/>
    <row r="516" ht="15.75" customFormat="1" customHeight="1" s="160"/>
    <row r="517" ht="15.75" customFormat="1" customHeight="1" s="160"/>
    <row r="518" ht="15.75" customFormat="1" customHeight="1" s="160"/>
    <row r="519" ht="15.75" customFormat="1" customHeight="1" s="160"/>
    <row r="520" ht="15.75" customFormat="1" customHeight="1" s="160"/>
    <row r="521" ht="15.75" customFormat="1" customHeight="1" s="160"/>
    <row r="522" ht="15.75" customFormat="1" customHeight="1" s="160"/>
    <row r="523" ht="15.75" customFormat="1" customHeight="1" s="160"/>
    <row r="524" ht="15.75" customFormat="1" customHeight="1" s="160"/>
    <row r="525" ht="15.75" customFormat="1" customHeight="1" s="160"/>
    <row r="526" ht="15.75" customFormat="1" customHeight="1" s="160"/>
    <row r="527" ht="15.75" customFormat="1" customHeight="1" s="160"/>
    <row r="528" ht="15.75" customFormat="1" customHeight="1" s="160"/>
    <row r="529" ht="15.75" customFormat="1" customHeight="1" s="160"/>
    <row r="530" ht="15.75" customFormat="1" customHeight="1" s="160"/>
    <row r="531" ht="15.75" customFormat="1" customHeight="1" s="160"/>
    <row r="532" ht="15.75" customFormat="1" customHeight="1" s="160"/>
    <row r="533" ht="15.75" customFormat="1" customHeight="1" s="160"/>
    <row r="534" ht="15.75" customFormat="1" customHeight="1" s="160"/>
    <row r="535" ht="15.75" customFormat="1" customHeight="1" s="160"/>
    <row r="536" ht="15.75" customFormat="1" customHeight="1" s="160"/>
    <row r="537" ht="15.75" customFormat="1" customHeight="1" s="160"/>
    <row r="538" ht="15.75" customFormat="1" customHeight="1" s="160"/>
    <row r="539" ht="15.75" customFormat="1" customHeight="1" s="160"/>
    <row r="540" ht="15.75" customFormat="1" customHeight="1" s="160"/>
    <row r="541" ht="15.75" customFormat="1" customHeight="1" s="160"/>
    <row r="542" ht="15.75" customFormat="1" customHeight="1" s="160"/>
    <row r="543" ht="15.75" customFormat="1" customHeight="1" s="160"/>
    <row r="544" ht="15.75" customFormat="1" customHeight="1" s="160"/>
    <row r="545" ht="15.75" customFormat="1" customHeight="1" s="160"/>
    <row r="546" ht="15.75" customFormat="1" customHeight="1" s="160"/>
    <row r="547" ht="15.75" customFormat="1" customHeight="1" s="160"/>
    <row r="548" ht="15.75" customFormat="1" customHeight="1" s="160"/>
    <row r="549" ht="15.75" customFormat="1" customHeight="1" s="160"/>
    <row r="550" ht="15.75" customFormat="1" customHeight="1" s="160"/>
    <row r="551" ht="15.75" customFormat="1" customHeight="1" s="160"/>
    <row r="552" ht="15.75" customFormat="1" customHeight="1" s="160"/>
    <row r="553" ht="15.75" customFormat="1" customHeight="1" s="160"/>
    <row r="554" ht="15.75" customFormat="1" customHeight="1" s="160"/>
    <row r="555" ht="15.75" customFormat="1" customHeight="1" s="160"/>
    <row r="556" ht="15.75" customFormat="1" customHeight="1" s="160"/>
    <row r="557" ht="15.75" customFormat="1" customHeight="1" s="160"/>
    <row r="558" ht="15.75" customFormat="1" customHeight="1" s="160"/>
    <row r="559" ht="15.75" customFormat="1" customHeight="1" s="160"/>
    <row r="560" ht="15.75" customFormat="1" customHeight="1" s="160"/>
    <row r="561" ht="15.75" customFormat="1" customHeight="1" s="160"/>
    <row r="562" ht="15.75" customFormat="1" customHeight="1" s="160"/>
    <row r="563" ht="15.75" customFormat="1" customHeight="1" s="160"/>
    <row r="564" ht="15.75" customFormat="1" customHeight="1" s="160"/>
    <row r="565" ht="15.75" customFormat="1" customHeight="1" s="160"/>
    <row r="566" ht="15.75" customFormat="1" customHeight="1" s="160"/>
    <row r="567" ht="15.75" customFormat="1" customHeight="1" s="160"/>
    <row r="568" ht="15.75" customFormat="1" customHeight="1" s="160"/>
    <row r="569" ht="15.75" customFormat="1" customHeight="1" s="160"/>
    <row r="570" ht="15.75" customFormat="1" customHeight="1" s="160"/>
    <row r="571" ht="15.75" customFormat="1" customHeight="1" s="160"/>
    <row r="572" ht="15.75" customFormat="1" customHeight="1" s="160"/>
    <row r="573" ht="15.75" customFormat="1" customHeight="1" s="160"/>
    <row r="574" ht="15.75" customFormat="1" customHeight="1" s="160"/>
    <row r="575" ht="15.75" customFormat="1" customHeight="1" s="160"/>
    <row r="576" ht="15.75" customFormat="1" customHeight="1" s="160"/>
    <row r="577" ht="15.75" customFormat="1" customHeight="1" s="160"/>
    <row r="578" ht="15.75" customFormat="1" customHeight="1" s="160"/>
    <row r="579" ht="15.75" customFormat="1" customHeight="1" s="160"/>
    <row r="580" ht="15.75" customFormat="1" customHeight="1" s="160"/>
    <row r="581" ht="15.75" customFormat="1" customHeight="1" s="160"/>
    <row r="582" ht="15.75" customFormat="1" customHeight="1" s="160"/>
    <row r="583" ht="15.75" customFormat="1" customHeight="1" s="160"/>
    <row r="584" ht="15.75" customFormat="1" customHeight="1" s="160"/>
    <row r="585" ht="15.75" customFormat="1" customHeight="1" s="160"/>
    <row r="586" ht="15.75" customFormat="1" customHeight="1" s="160"/>
    <row r="587" ht="15.75" customFormat="1" customHeight="1" s="160"/>
    <row r="588" ht="15.75" customFormat="1" customHeight="1" s="160"/>
    <row r="589" ht="15.75" customFormat="1" customHeight="1" s="160"/>
    <row r="590" ht="15.75" customFormat="1" customHeight="1" s="160"/>
    <row r="591" ht="15.75" customFormat="1" customHeight="1" s="160"/>
    <row r="592" ht="15.75" customFormat="1" customHeight="1" s="160"/>
    <row r="593" ht="15.75" customFormat="1" customHeight="1" s="160"/>
    <row r="594" ht="15.75" customFormat="1" customHeight="1" s="160"/>
    <row r="595" ht="15.75" customFormat="1" customHeight="1" s="160"/>
    <row r="596" ht="15.75" customFormat="1" customHeight="1" s="160"/>
    <row r="597" ht="15.75" customFormat="1" customHeight="1" s="160"/>
    <row r="598" ht="15.75" customFormat="1" customHeight="1" s="160"/>
    <row r="599" ht="15.75" customFormat="1" customHeight="1" s="160"/>
    <row r="600" ht="15.75" customFormat="1" customHeight="1" s="160"/>
    <row r="601" ht="15.75" customFormat="1" customHeight="1" s="160"/>
    <row r="602" ht="15.75" customFormat="1" customHeight="1" s="160"/>
    <row r="603" ht="15.75" customFormat="1" customHeight="1" s="160"/>
    <row r="604" ht="15.75" customFormat="1" customHeight="1" s="160"/>
    <row r="605" ht="15.75" customFormat="1" customHeight="1" s="160"/>
    <row r="606" ht="15.75" customFormat="1" customHeight="1" s="160"/>
    <row r="607" ht="15.75" customFormat="1" customHeight="1" s="160"/>
    <row r="608" ht="15.75" customFormat="1" customHeight="1" s="160"/>
    <row r="609" ht="15.75" customFormat="1" customHeight="1" s="160"/>
    <row r="610" ht="15.75" customFormat="1" customHeight="1" s="160"/>
    <row r="611" ht="15.75" customFormat="1" customHeight="1" s="160"/>
    <row r="612" ht="15.75" customFormat="1" customHeight="1" s="160"/>
    <row r="613" ht="15.75" customFormat="1" customHeight="1" s="160"/>
    <row r="614" ht="15.75" customFormat="1" customHeight="1" s="160"/>
    <row r="615" ht="15.75" customFormat="1" customHeight="1" s="160"/>
    <row r="616" ht="15.75" customFormat="1" customHeight="1" s="160"/>
    <row r="617" ht="15.75" customFormat="1" customHeight="1" s="160"/>
    <row r="618" ht="15.75" customFormat="1" customHeight="1" s="160"/>
    <row r="619" ht="15.75" customFormat="1" customHeight="1" s="160"/>
    <row r="620" ht="15.75" customFormat="1" customHeight="1" s="160"/>
    <row r="621" ht="15.75" customFormat="1" customHeight="1" s="160"/>
    <row r="622" ht="15.75" customFormat="1" customHeight="1" s="160"/>
    <row r="623" ht="15.75" customFormat="1" customHeight="1" s="160"/>
    <row r="624" ht="15.75" customFormat="1" customHeight="1" s="160"/>
    <row r="625" ht="15.75" customFormat="1" customHeight="1" s="160"/>
    <row r="626" ht="15.75" customFormat="1" customHeight="1" s="160"/>
    <row r="627" ht="15.75" customFormat="1" customHeight="1" s="160"/>
    <row r="628" ht="15.75" customFormat="1" customHeight="1" s="160"/>
    <row r="629" ht="15.75" customFormat="1" customHeight="1" s="160"/>
    <row r="630" ht="15.75" customFormat="1" customHeight="1" s="160"/>
    <row r="631" ht="15.75" customFormat="1" customHeight="1" s="160"/>
    <row r="632" ht="15.75" customFormat="1" customHeight="1" s="160"/>
    <row r="633" ht="15.75" customFormat="1" customHeight="1" s="160"/>
    <row r="634" ht="15.75" customFormat="1" customHeight="1" s="160"/>
    <row r="635" ht="15.75" customFormat="1" customHeight="1" s="160"/>
    <row r="636" ht="15.75" customFormat="1" customHeight="1" s="160"/>
    <row r="637" ht="15.75" customFormat="1" customHeight="1" s="160"/>
    <row r="638" ht="15.75" customFormat="1" customHeight="1" s="160"/>
    <row r="639" ht="15.75" customFormat="1" customHeight="1" s="160"/>
    <row r="640" ht="15.75" customFormat="1" customHeight="1" s="160"/>
    <row r="641" ht="15.75" customFormat="1" customHeight="1" s="160"/>
    <row r="642" ht="15.75" customFormat="1" customHeight="1" s="160"/>
    <row r="643" ht="15.75" customFormat="1" customHeight="1" s="160"/>
    <row r="644" ht="15.75" customFormat="1" customHeight="1" s="160"/>
    <row r="645" ht="15.75" customFormat="1" customHeight="1" s="160"/>
    <row r="646" ht="15.75" customFormat="1" customHeight="1" s="160"/>
    <row r="647" ht="15.75" customFormat="1" customHeight="1" s="160"/>
    <row r="648" ht="15.75" customFormat="1" customHeight="1" s="160"/>
    <row r="649" ht="15.75" customFormat="1" customHeight="1" s="160"/>
    <row r="650" ht="15.75" customFormat="1" customHeight="1" s="160"/>
    <row r="651" ht="15.75" customFormat="1" customHeight="1" s="160"/>
    <row r="652" ht="15.75" customFormat="1" customHeight="1" s="160"/>
    <row r="653" ht="15.75" customFormat="1" customHeight="1" s="160"/>
    <row r="654" ht="15.75" customFormat="1" customHeight="1" s="160"/>
    <row r="655" ht="15.75" customFormat="1" customHeight="1" s="160"/>
    <row r="656" ht="15.75" customFormat="1" customHeight="1" s="160"/>
    <row r="657" ht="15.75" customFormat="1" customHeight="1" s="160"/>
    <row r="658" ht="15.75" customFormat="1" customHeight="1" s="160"/>
    <row r="659" ht="15.75" customFormat="1" customHeight="1" s="160"/>
    <row r="660" ht="15.75" customFormat="1" customHeight="1" s="160"/>
    <row r="661" ht="15.75" customFormat="1" customHeight="1" s="160"/>
    <row r="662" ht="15.75" customFormat="1" customHeight="1" s="160"/>
    <row r="663" ht="15.75" customFormat="1" customHeight="1" s="160"/>
    <row r="664" ht="15.75" customFormat="1" customHeight="1" s="160"/>
    <row r="665" ht="15.75" customFormat="1" customHeight="1" s="160"/>
    <row r="666" ht="15.75" customFormat="1" customHeight="1" s="160"/>
    <row r="667" ht="15.75" customFormat="1" customHeight="1" s="160"/>
    <row r="668" ht="15.75" customFormat="1" customHeight="1" s="160"/>
    <row r="669" ht="15.75" customFormat="1" customHeight="1" s="160"/>
    <row r="670" ht="15.75" customFormat="1" customHeight="1" s="160"/>
    <row r="671" ht="15.75" customFormat="1" customHeight="1" s="160"/>
    <row r="672" ht="15.75" customFormat="1" customHeight="1" s="160"/>
    <row r="673" ht="15.75" customFormat="1" customHeight="1" s="160"/>
    <row r="674" ht="15.75" customFormat="1" customHeight="1" s="160"/>
    <row r="675" ht="15.75" customFormat="1" customHeight="1" s="160"/>
    <row r="676" ht="15.75" customFormat="1" customHeight="1" s="160"/>
    <row r="677" ht="15.75" customFormat="1" customHeight="1" s="160"/>
    <row r="678" ht="15.75" customFormat="1" customHeight="1" s="160"/>
    <row r="679" ht="15.75" customFormat="1" customHeight="1" s="160"/>
    <row r="680" ht="15.75" customFormat="1" customHeight="1" s="160"/>
    <row r="681" ht="15.75" customFormat="1" customHeight="1" s="160"/>
    <row r="682" ht="15.75" customFormat="1" customHeight="1" s="160"/>
    <row r="683" ht="15.75" customFormat="1" customHeight="1" s="160"/>
    <row r="684" ht="15.75" customFormat="1" customHeight="1" s="160"/>
    <row r="685" ht="15.75" customFormat="1" customHeight="1" s="160"/>
    <row r="686" ht="15.75" customFormat="1" customHeight="1" s="160"/>
    <row r="687" ht="15.75" customFormat="1" customHeight="1" s="160"/>
    <row r="688" ht="15.75" customFormat="1" customHeight="1" s="160"/>
    <row r="689" ht="15.75" customFormat="1" customHeight="1" s="160"/>
    <row r="690" ht="15.75" customFormat="1" customHeight="1" s="160"/>
    <row r="691" ht="15.75" customFormat="1" customHeight="1" s="160"/>
    <row r="692" ht="15.75" customFormat="1" customHeight="1" s="160"/>
    <row r="693" ht="15.75" customFormat="1" customHeight="1" s="160"/>
    <row r="694" ht="15.75" customFormat="1" customHeight="1" s="160"/>
    <row r="695" ht="15.75" customFormat="1" customHeight="1" s="160"/>
    <row r="696" ht="15.75" customFormat="1" customHeight="1" s="160"/>
    <row r="697" ht="15.75" customFormat="1" customHeight="1" s="160"/>
    <row r="698" ht="15.75" customFormat="1" customHeight="1" s="160"/>
    <row r="699" ht="15.75" customFormat="1" customHeight="1" s="160"/>
    <row r="700" ht="15.75" customFormat="1" customHeight="1" s="160"/>
    <row r="701" ht="15.75" customFormat="1" customHeight="1" s="160"/>
    <row r="702" ht="15.75" customFormat="1" customHeight="1" s="160"/>
    <row r="703" ht="15.75" customFormat="1" customHeight="1" s="160"/>
    <row r="704" ht="15.75" customFormat="1" customHeight="1" s="160"/>
    <row r="705" ht="15.75" customFormat="1" customHeight="1" s="160"/>
    <row r="706" ht="15.75" customFormat="1" customHeight="1" s="160"/>
    <row r="707" ht="15.75" customFormat="1" customHeight="1" s="160"/>
    <row r="708" ht="15.75" customFormat="1" customHeight="1" s="160"/>
    <row r="709" ht="15.75" customFormat="1" customHeight="1" s="160"/>
    <row r="710" ht="15.75" customFormat="1" customHeight="1" s="160"/>
    <row r="711" ht="15.75" customFormat="1" customHeight="1" s="160"/>
    <row r="712" ht="15.75" customFormat="1" customHeight="1" s="160"/>
    <row r="713" ht="15.75" customFormat="1" customHeight="1" s="160"/>
    <row r="714" ht="15.75" customFormat="1" customHeight="1" s="160"/>
    <row r="715" ht="15.75" customFormat="1" customHeight="1" s="160"/>
    <row r="716" ht="15.75" customFormat="1" customHeight="1" s="160"/>
    <row r="717" ht="15.75" customFormat="1" customHeight="1" s="160"/>
    <row r="718" ht="15.75" customFormat="1" customHeight="1" s="160"/>
    <row r="719" ht="15.75" customFormat="1" customHeight="1" s="160"/>
    <row r="720" ht="15.75" customFormat="1" customHeight="1" s="160"/>
    <row r="721" ht="15.75" customFormat="1" customHeight="1" s="160"/>
    <row r="722" ht="15.75" customFormat="1" customHeight="1" s="160"/>
    <row r="723" ht="15.75" customFormat="1" customHeight="1" s="160"/>
    <row r="724" ht="15.75" customFormat="1" customHeight="1" s="160"/>
    <row r="725" ht="15.75" customFormat="1" customHeight="1" s="160"/>
    <row r="726" ht="15.75" customFormat="1" customHeight="1" s="160"/>
    <row r="727" ht="15.75" customFormat="1" customHeight="1" s="160"/>
    <row r="728" ht="15.75" customFormat="1" customHeight="1" s="160"/>
    <row r="729" ht="15.75" customFormat="1" customHeight="1" s="160"/>
    <row r="730" ht="15.75" customFormat="1" customHeight="1" s="160"/>
    <row r="731" ht="15.75" customFormat="1" customHeight="1" s="160"/>
    <row r="732" ht="15.75" customFormat="1" customHeight="1" s="160"/>
    <row r="733" ht="15.75" customFormat="1" customHeight="1" s="160"/>
    <row r="734" ht="15.75" customFormat="1" customHeight="1" s="160"/>
    <row r="735" ht="15.75" customFormat="1" customHeight="1" s="160"/>
    <row r="736" ht="15.75" customFormat="1" customHeight="1" s="160"/>
    <row r="737" ht="15.75" customFormat="1" customHeight="1" s="160"/>
    <row r="738" ht="15.75" customFormat="1" customHeight="1" s="160"/>
    <row r="739" ht="15.75" customFormat="1" customHeight="1" s="160"/>
    <row r="740" ht="15.75" customFormat="1" customHeight="1" s="160"/>
    <row r="741" ht="15.75" customFormat="1" customHeight="1" s="160"/>
    <row r="742" ht="15.75" customFormat="1" customHeight="1" s="160"/>
    <row r="743" ht="15.75" customFormat="1" customHeight="1" s="160"/>
    <row r="744" ht="15.75" customFormat="1" customHeight="1" s="160"/>
    <row r="745" ht="15.75" customFormat="1" customHeight="1" s="160"/>
    <row r="746" ht="15.75" customFormat="1" customHeight="1" s="160"/>
    <row r="747" ht="15.75" customFormat="1" customHeight="1" s="160"/>
    <row r="748" ht="15.75" customFormat="1" customHeight="1" s="160"/>
    <row r="749" ht="15.75" customFormat="1" customHeight="1" s="160"/>
    <row r="750" ht="15.75" customFormat="1" customHeight="1" s="160"/>
    <row r="751" ht="15.75" customFormat="1" customHeight="1" s="160"/>
    <row r="752" ht="15.75" customFormat="1" customHeight="1" s="160"/>
    <row r="753" ht="15.75" customFormat="1" customHeight="1" s="160"/>
    <row r="754" ht="15.75" customFormat="1" customHeight="1" s="160"/>
    <row r="755" ht="15.75" customFormat="1" customHeight="1" s="160"/>
    <row r="756" ht="15.75" customFormat="1" customHeight="1" s="160"/>
    <row r="757" ht="15.75" customFormat="1" customHeight="1" s="160"/>
    <row r="758" ht="15.75" customFormat="1" customHeight="1" s="160"/>
    <row r="759" ht="15.75" customFormat="1" customHeight="1" s="160"/>
    <row r="760" ht="15.75" customFormat="1" customHeight="1" s="160"/>
    <row r="761" ht="15.75" customFormat="1" customHeight="1" s="160"/>
    <row r="762" ht="15.75" customFormat="1" customHeight="1" s="160"/>
    <row r="763" ht="15.75" customFormat="1" customHeight="1" s="160"/>
    <row r="764" ht="15.75" customFormat="1" customHeight="1" s="160"/>
    <row r="765" ht="15.75" customFormat="1" customHeight="1" s="160"/>
    <row r="766" ht="15.75" customFormat="1" customHeight="1" s="160"/>
    <row r="767" ht="15.75" customFormat="1" customHeight="1" s="160"/>
    <row r="768" ht="15.75" customFormat="1" customHeight="1" s="160"/>
    <row r="769" ht="15.75" customFormat="1" customHeight="1" s="160"/>
    <row r="770" ht="15.75" customFormat="1" customHeight="1" s="160"/>
    <row r="771" ht="15.75" customFormat="1" customHeight="1" s="160"/>
    <row r="772" ht="15.75" customFormat="1" customHeight="1" s="160"/>
    <row r="773" ht="15.75" customFormat="1" customHeight="1" s="160"/>
    <row r="774" ht="15.75" customFormat="1" customHeight="1" s="160"/>
    <row r="775" ht="15.75" customFormat="1" customHeight="1" s="160"/>
    <row r="776" ht="15.75" customFormat="1" customHeight="1" s="160"/>
    <row r="777" ht="15.75" customFormat="1" customHeight="1" s="160"/>
    <row r="778" ht="15.75" customFormat="1" customHeight="1" s="160"/>
    <row r="779" ht="15.75" customFormat="1" customHeight="1" s="160"/>
    <row r="780" ht="15.75" customFormat="1" customHeight="1" s="160"/>
    <row r="781" ht="15.75" customFormat="1" customHeight="1" s="160"/>
    <row r="782" ht="15.75" customFormat="1" customHeight="1" s="160"/>
    <row r="783" ht="15.75" customFormat="1" customHeight="1" s="160"/>
    <row r="784" ht="15.75" customFormat="1" customHeight="1" s="160"/>
    <row r="785" ht="15.75" customFormat="1" customHeight="1" s="160"/>
    <row r="786" ht="15.75" customFormat="1" customHeight="1" s="160"/>
    <row r="787" ht="15.75" customFormat="1" customHeight="1" s="160"/>
    <row r="788" ht="15.75" customFormat="1" customHeight="1" s="160"/>
    <row r="789" ht="15.75" customFormat="1" customHeight="1" s="160"/>
    <row r="790" ht="15.75" customFormat="1" customHeight="1" s="160"/>
    <row r="791" ht="15.75" customFormat="1" customHeight="1" s="160"/>
    <row r="792" ht="15.75" customFormat="1" customHeight="1" s="160"/>
    <row r="793" ht="15.75" customFormat="1" customHeight="1" s="160"/>
    <row r="794" ht="15.75" customFormat="1" customHeight="1" s="160"/>
    <row r="795" ht="15.75" customFormat="1" customHeight="1" s="160"/>
    <row r="796" ht="15.75" customFormat="1" customHeight="1" s="160"/>
    <row r="797" ht="15.75" customFormat="1" customHeight="1" s="160"/>
    <row r="798" ht="15.75" customFormat="1" customHeight="1" s="160"/>
    <row r="799" ht="15.75" customFormat="1" customHeight="1" s="160"/>
    <row r="800" ht="15.75" customFormat="1" customHeight="1" s="160"/>
    <row r="801" ht="15.75" customFormat="1" customHeight="1" s="160"/>
    <row r="802" ht="15.75" customFormat="1" customHeight="1" s="160"/>
    <row r="803" ht="15.75" customFormat="1" customHeight="1" s="160"/>
    <row r="804" ht="15.75" customFormat="1" customHeight="1" s="160"/>
    <row r="805" ht="15.75" customFormat="1" customHeight="1" s="160"/>
    <row r="806" ht="15.75" customFormat="1" customHeight="1" s="160"/>
    <row r="807" ht="15.75" customFormat="1" customHeight="1" s="160"/>
    <row r="808" ht="15.75" customFormat="1" customHeight="1" s="160"/>
    <row r="809" ht="15.75" customFormat="1" customHeight="1" s="160"/>
    <row r="810" ht="15.75" customFormat="1" customHeight="1" s="160"/>
    <row r="811" ht="15.75" customFormat="1" customHeight="1" s="160"/>
    <row r="812" ht="15.75" customFormat="1" customHeight="1" s="160"/>
    <row r="813" ht="15.75" customFormat="1" customHeight="1" s="160"/>
    <row r="814" ht="15.75" customFormat="1" customHeight="1" s="160"/>
    <row r="815" ht="15.75" customFormat="1" customHeight="1" s="160"/>
    <row r="816" ht="15.75" customFormat="1" customHeight="1" s="160"/>
    <row r="817" ht="15.75" customFormat="1" customHeight="1" s="160"/>
    <row r="818" ht="15.75" customFormat="1" customHeight="1" s="160"/>
    <row r="819" ht="15.75" customFormat="1" customHeight="1" s="160"/>
    <row r="820" ht="15.75" customFormat="1" customHeight="1" s="160"/>
    <row r="821" ht="15.75" customFormat="1" customHeight="1" s="160"/>
    <row r="822" ht="15.75" customFormat="1" customHeight="1" s="160"/>
    <row r="823" ht="15.75" customFormat="1" customHeight="1" s="160"/>
    <row r="824" ht="15.75" customFormat="1" customHeight="1" s="160"/>
    <row r="825" ht="15.75" customFormat="1" customHeight="1" s="160"/>
    <row r="826" ht="15.75" customFormat="1" customHeight="1" s="160"/>
    <row r="827" ht="15.75" customFormat="1" customHeight="1" s="160"/>
    <row r="828" ht="15.75" customFormat="1" customHeight="1" s="160"/>
    <row r="829" ht="15.75" customFormat="1" customHeight="1" s="160"/>
    <row r="830" ht="15.75" customFormat="1" customHeight="1" s="160"/>
    <row r="831" ht="15.75" customFormat="1" customHeight="1" s="160"/>
    <row r="832" ht="15.75" customFormat="1" customHeight="1" s="160"/>
    <row r="833" ht="15.75" customFormat="1" customHeight="1" s="160"/>
    <row r="834" ht="15.75" customFormat="1" customHeight="1" s="160"/>
    <row r="835" ht="15.75" customFormat="1" customHeight="1" s="160"/>
    <row r="836" ht="15.75" customFormat="1" customHeight="1" s="160"/>
    <row r="837" ht="15.75" customFormat="1" customHeight="1" s="160"/>
    <row r="838" ht="15.75" customFormat="1" customHeight="1" s="160"/>
    <row r="839" ht="15.75" customFormat="1" customHeight="1" s="160"/>
    <row r="840" ht="15.75" customFormat="1" customHeight="1" s="160"/>
    <row r="841" ht="15.75" customFormat="1" customHeight="1" s="160"/>
    <row r="842" ht="15.75" customFormat="1" customHeight="1" s="160"/>
    <row r="843" ht="15.75" customFormat="1" customHeight="1" s="160"/>
    <row r="844" ht="15.75" customFormat="1" customHeight="1" s="160"/>
    <row r="845" ht="15.75" customFormat="1" customHeight="1" s="160"/>
    <row r="846" ht="15.75" customFormat="1" customHeight="1" s="160"/>
    <row r="847" ht="15.75" customFormat="1" customHeight="1" s="160"/>
    <row r="848" ht="15.75" customFormat="1" customHeight="1" s="160"/>
    <row r="849" ht="15.75" customFormat="1" customHeight="1" s="160"/>
    <row r="850" ht="15.75" customFormat="1" customHeight="1" s="160"/>
    <row r="851" ht="15.75" customFormat="1" customHeight="1" s="160"/>
    <row r="852" ht="15.75" customFormat="1" customHeight="1" s="160"/>
    <row r="853" ht="15.75" customFormat="1" customHeight="1" s="160"/>
    <row r="854" ht="15.75" customFormat="1" customHeight="1" s="160"/>
    <row r="855" ht="15.75" customFormat="1" customHeight="1" s="160"/>
    <row r="856" ht="15.75" customFormat="1" customHeight="1" s="160"/>
    <row r="857" ht="15.75" customFormat="1" customHeight="1" s="160"/>
    <row r="858" ht="15.75" customFormat="1" customHeight="1" s="160"/>
    <row r="859" ht="15.75" customFormat="1" customHeight="1" s="160"/>
    <row r="860" ht="15.75" customFormat="1" customHeight="1" s="160"/>
    <row r="861" ht="15.75" customFormat="1" customHeight="1" s="160"/>
    <row r="862" ht="15.75" customFormat="1" customHeight="1" s="160"/>
    <row r="863" ht="15.75" customFormat="1" customHeight="1" s="160"/>
    <row r="864" ht="15.75" customFormat="1" customHeight="1" s="160"/>
    <row r="865" ht="15.75" customFormat="1" customHeight="1" s="160"/>
    <row r="866" ht="15.75" customFormat="1" customHeight="1" s="160"/>
    <row r="867" ht="15.75" customFormat="1" customHeight="1" s="160"/>
    <row r="868" ht="15.75" customFormat="1" customHeight="1" s="160"/>
    <row r="869" ht="15.75" customFormat="1" customHeight="1" s="160"/>
    <row r="870" ht="15.75" customFormat="1" customHeight="1" s="160"/>
    <row r="871" ht="15.75" customFormat="1" customHeight="1" s="160"/>
    <row r="872" ht="15.75" customFormat="1" customHeight="1" s="160"/>
    <row r="873" ht="15.75" customFormat="1" customHeight="1" s="160"/>
    <row r="874" ht="15.75" customFormat="1" customHeight="1" s="160"/>
    <row r="875" ht="15.75" customFormat="1" customHeight="1" s="160"/>
    <row r="876" ht="15.75" customFormat="1" customHeight="1" s="160"/>
    <row r="877" ht="15.75" customFormat="1" customHeight="1" s="160"/>
    <row r="878" ht="15.75" customFormat="1" customHeight="1" s="160"/>
    <row r="879" ht="15.75" customFormat="1" customHeight="1" s="160"/>
    <row r="880" ht="15.75" customFormat="1" customHeight="1" s="160"/>
    <row r="881" ht="15.75" customFormat="1" customHeight="1" s="160"/>
    <row r="882" ht="15.75" customFormat="1" customHeight="1" s="160"/>
    <row r="883" ht="15.75" customFormat="1" customHeight="1" s="160"/>
    <row r="884" ht="15.75" customFormat="1" customHeight="1" s="160"/>
    <row r="885" ht="15.75" customFormat="1" customHeight="1" s="160"/>
    <row r="886" ht="15.75" customFormat="1" customHeight="1" s="160"/>
    <row r="887" ht="15.75" customFormat="1" customHeight="1" s="160"/>
    <row r="888" ht="15.75" customFormat="1" customHeight="1" s="160"/>
    <row r="889" ht="15.75" customFormat="1" customHeight="1" s="160"/>
    <row r="890" ht="15.75" customFormat="1" customHeight="1" s="160"/>
    <row r="891" ht="15.75" customFormat="1" customHeight="1" s="160"/>
    <row r="892" ht="15.75" customFormat="1" customHeight="1" s="160"/>
    <row r="893" ht="15.75" customFormat="1" customHeight="1" s="160"/>
    <row r="894" ht="15.75" customFormat="1" customHeight="1" s="160"/>
    <row r="895" ht="15.75" customFormat="1" customHeight="1" s="160"/>
    <row r="896" ht="15.75" customFormat="1" customHeight="1" s="160"/>
    <row r="897" ht="15.75" customFormat="1" customHeight="1" s="160"/>
    <row r="898" ht="15.75" customFormat="1" customHeight="1" s="160"/>
    <row r="899" ht="15.75" customFormat="1" customHeight="1" s="160"/>
    <row r="900" ht="15.75" customFormat="1" customHeight="1" s="160"/>
    <row r="901" ht="15.75" customFormat="1" customHeight="1" s="160"/>
    <row r="902" ht="15.75" customFormat="1" customHeight="1" s="160"/>
    <row r="903" ht="15.75" customFormat="1" customHeight="1" s="160"/>
    <row r="904" ht="15.75" customFormat="1" customHeight="1" s="160"/>
    <row r="905" ht="15.75" customFormat="1" customHeight="1" s="160"/>
    <row r="906" ht="15.75" customFormat="1" customHeight="1" s="160"/>
    <row r="907" ht="15.75" customFormat="1" customHeight="1" s="160"/>
    <row r="908" ht="15.75" customFormat="1" customHeight="1" s="160"/>
    <row r="909" ht="15.75" customFormat="1" customHeight="1" s="160"/>
    <row r="910" ht="15.75" customFormat="1" customHeight="1" s="160"/>
    <row r="911" ht="15.75" customFormat="1" customHeight="1" s="160"/>
    <row r="912" ht="15.75" customFormat="1" customHeight="1" s="160"/>
    <row r="913" ht="15.75" customFormat="1" customHeight="1" s="160"/>
    <row r="914" ht="15.75" customFormat="1" customHeight="1" s="160"/>
    <row r="915" ht="15.75" customFormat="1" customHeight="1" s="160"/>
    <row r="916" ht="15.75" customFormat="1" customHeight="1" s="160"/>
    <row r="917" ht="15.75" customFormat="1" customHeight="1" s="160"/>
    <row r="918" ht="15.75" customFormat="1" customHeight="1" s="160"/>
    <row r="919" ht="15.75" customFormat="1" customHeight="1" s="160"/>
    <row r="920" ht="15.75" customFormat="1" customHeight="1" s="160"/>
    <row r="921" ht="15.75" customFormat="1" customHeight="1" s="160"/>
    <row r="922" ht="15.75" customFormat="1" customHeight="1" s="160"/>
    <row r="923" ht="15.75" customFormat="1" customHeight="1" s="160"/>
    <row r="924" ht="15.75" customFormat="1" customHeight="1" s="160"/>
    <row r="925" ht="15.75" customFormat="1" customHeight="1" s="160"/>
    <row r="926" ht="15.75" customFormat="1" customHeight="1" s="160"/>
    <row r="927" ht="15.75" customFormat="1" customHeight="1" s="160"/>
    <row r="928" ht="15.75" customFormat="1" customHeight="1" s="160"/>
    <row r="929" ht="15.75" customFormat="1" customHeight="1" s="160"/>
    <row r="930" ht="15.75" customFormat="1" customHeight="1" s="160"/>
    <row r="931" ht="15.75" customFormat="1" customHeight="1" s="160"/>
    <row r="932" ht="15.75" customFormat="1" customHeight="1" s="160"/>
    <row r="933" ht="15.75" customFormat="1" customHeight="1" s="160"/>
    <row r="934" ht="15.75" customFormat="1" customHeight="1" s="160"/>
    <row r="935" ht="15.75" customFormat="1" customHeight="1" s="160"/>
    <row r="936" ht="15.75" customFormat="1" customHeight="1" s="160"/>
    <row r="937" ht="15.75" customFormat="1" customHeight="1" s="160"/>
    <row r="938" ht="15.75" customFormat="1" customHeight="1" s="160"/>
    <row r="939" ht="15.75" customFormat="1" customHeight="1" s="160"/>
    <row r="940" ht="15.75" customFormat="1" customHeight="1" s="160"/>
    <row r="941" ht="15.75" customFormat="1" customHeight="1" s="160"/>
    <row r="942" ht="15.75" customFormat="1" customHeight="1" s="160"/>
    <row r="943" ht="15.75" customFormat="1" customHeight="1" s="160"/>
    <row r="944" ht="15.75" customFormat="1" customHeight="1" s="160"/>
    <row r="945" ht="15.75" customFormat="1" customHeight="1" s="160"/>
    <row r="946" ht="15.75" customFormat="1" customHeight="1" s="160"/>
    <row r="947" ht="15.75" customFormat="1" customHeight="1" s="160"/>
    <row r="948" ht="15.75" customFormat="1" customHeight="1" s="160"/>
    <row r="949" ht="15.75" customFormat="1" customHeight="1" s="160"/>
    <row r="950" ht="15.75" customFormat="1" customHeight="1" s="160"/>
    <row r="951" ht="15.75" customFormat="1" customHeight="1" s="160"/>
    <row r="952" ht="15.75" customFormat="1" customHeight="1" s="160"/>
    <row r="953" ht="15.75" customFormat="1" customHeight="1" s="160"/>
    <row r="954" ht="15.75" customFormat="1" customHeight="1" s="160"/>
    <row r="955" ht="15.75" customFormat="1" customHeight="1" s="160"/>
    <row r="956" ht="15.75" customFormat="1" customHeight="1" s="160"/>
    <row r="957" ht="15.75" customFormat="1" customHeight="1" s="160"/>
    <row r="958" ht="15.75" customFormat="1" customHeight="1" s="160"/>
    <row r="959" ht="15.75" customFormat="1" customHeight="1" s="160"/>
    <row r="960" ht="15.75" customFormat="1" customHeight="1" s="160"/>
    <row r="961" ht="15.75" customFormat="1" customHeight="1" s="160"/>
    <row r="962" ht="15.75" customFormat="1" customHeight="1" s="160"/>
    <row r="963" ht="15.75" customFormat="1" customHeight="1" s="160"/>
    <row r="964" ht="15.75" customFormat="1" customHeight="1" s="160"/>
    <row r="965" ht="15.75" customFormat="1" customHeight="1" s="160"/>
    <row r="966" ht="15.75" customFormat="1" customHeight="1" s="160"/>
    <row r="967" ht="15.75" customFormat="1" customHeight="1" s="160"/>
    <row r="968" ht="15.75" customFormat="1" customHeight="1" s="160"/>
    <row r="969" ht="15.75" customFormat="1" customHeight="1" s="160"/>
    <row r="970" ht="15.75" customFormat="1" customHeight="1" s="160"/>
    <row r="971" ht="15.75" customFormat="1" customHeight="1" s="160"/>
    <row r="972" ht="15.75" customFormat="1" customHeight="1" s="160"/>
    <row r="973" ht="15.75" customFormat="1" customHeight="1" s="160"/>
    <row r="974" ht="15.75" customFormat="1" customHeight="1" s="160"/>
    <row r="975" ht="15.75" customFormat="1" customHeight="1" s="160"/>
    <row r="976" ht="15.75" customFormat="1" customHeight="1" s="160"/>
    <row r="977" ht="15.75" customFormat="1" customHeight="1" s="160"/>
    <row r="978" ht="15.75" customFormat="1" customHeight="1" s="160"/>
    <row r="979" ht="15.75" customFormat="1" customHeight="1" s="160"/>
    <row r="980" ht="15.75" customFormat="1" customHeight="1" s="160"/>
    <row r="981" ht="15.75" customFormat="1" customHeight="1" s="160"/>
    <row r="982" ht="15.75" customFormat="1" customHeight="1" s="160"/>
    <row r="983" ht="15.75" customFormat="1" customHeight="1" s="160"/>
    <row r="984" ht="15.75" customFormat="1" customHeight="1" s="160"/>
    <row r="985" ht="15.75" customFormat="1" customHeight="1" s="160"/>
    <row r="986" ht="15.75" customFormat="1" customHeight="1" s="160"/>
    <row r="987" ht="15.75" customFormat="1" customHeight="1" s="160"/>
    <row r="988" ht="15.75" customFormat="1" customHeight="1" s="160"/>
    <row r="989" ht="15.75" customFormat="1" customHeight="1" s="160"/>
    <row r="990" ht="15.75" customFormat="1" customHeight="1" s="160"/>
    <row r="991" ht="15.75" customFormat="1" customHeight="1" s="160"/>
    <row r="992" ht="15.75" customFormat="1" customHeight="1" s="160"/>
    <row r="993" ht="15.75" customFormat="1" customHeight="1" s="160"/>
    <row r="994" ht="15.75" customFormat="1" customHeight="1" s="160"/>
    <row r="995" ht="15.75" customFormat="1" customHeight="1" s="160"/>
    <row r="996" ht="15.75" customFormat="1" customHeight="1" s="160"/>
    <row r="997" ht="15.75" customFormat="1" customHeight="1" s="160"/>
    <row r="998" ht="15.75" customFormat="1" customHeight="1" s="160"/>
    <row r="999" ht="15.75" customFormat="1" customHeight="1" s="160"/>
    <row r="1000" ht="15.75" customFormat="1" customHeight="1" s="160"/>
  </sheetData>
  <mergeCells count="7">
    <mergeCell ref="A20:L20"/>
    <mergeCell ref="A11:F11"/>
    <mergeCell ref="A10:F10"/>
    <mergeCell ref="A14:P14"/>
    <mergeCell ref="A1:P1"/>
    <mergeCell ref="A4:F4"/>
    <mergeCell ref="A2:P2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tabSelected="1" zoomScaleNormal="100" workbookViewId="0">
      <selection activeCell="L39" sqref="L39"/>
    </sheetView>
  </sheetViews>
  <sheetFormatPr baseColWidth="10" defaultColWidth="8.83203125" defaultRowHeight="17"/>
  <cols>
    <col width="15" customWidth="1" style="40" min="1" max="2"/>
    <col width="9.5" customWidth="1" style="40" min="3" max="3"/>
    <col width="18" customWidth="1" style="40" min="4" max="4"/>
    <col width="8.83203125" customWidth="1" style="40" min="5" max="9"/>
    <col width="8.83203125" customWidth="1" style="40" min="10" max="16384"/>
  </cols>
  <sheetData>
    <row r="1" ht="24" customHeight="1">
      <c r="A1" s="203" t="inlineStr">
        <is>
          <t>관세청 주간 고시환율 (USD/KRW 수입환율)</t>
        </is>
      </c>
      <c r="B1" s="148" t="n"/>
      <c r="C1" s="148" t="n"/>
      <c r="D1" s="149" t="n"/>
    </row>
    <row r="2" ht="15.75" customHeight="1">
      <c r="A2" s="204" t="inlineStr">
        <is>
          <t>출처: 관세청 관세법령정보포털 (CLIP) - 주간환율조회</t>
        </is>
      </c>
      <c r="B2" s="148" t="n"/>
      <c r="C2" s="148" t="n"/>
      <c r="D2" s="149" t="n"/>
    </row>
    <row r="3" ht="15.75" customHeight="1">
      <c r="A3" s="204" t="inlineStr">
        <is>
          <t>관세법 제18조 기준: 수입신고일이 속하는 주의 전주 기준환율 평균 (매주 금요일 고시, 일~토 적용)</t>
        </is>
      </c>
      <c r="B3" s="148" t="n"/>
      <c r="C3" s="148" t="n"/>
      <c r="D3" s="149" t="n"/>
    </row>
    <row r="4" ht="15.75" customHeight="1">
      <c r="A4" s="205" t="inlineStr">
        <is>
          <t>업데이트: 2026-07-02 (관세청 고시환율)</t>
        </is>
      </c>
      <c r="B4" s="148" t="n"/>
      <c r="C4" s="148" t="n"/>
      <c r="D4" s="149" t="n"/>
    </row>
    <row r="5" ht="7.5" customHeight="1"/>
    <row r="6" ht="27.75" customHeight="1">
      <c r="A6" s="72" t="inlineStr">
        <is>
          <t>적용 시작일</t>
        </is>
      </c>
      <c r="B6" s="72" t="inlineStr">
        <is>
          <t>적용 종료일</t>
        </is>
      </c>
      <c r="C6" s="72" t="inlineStr">
        <is>
          <t>통화</t>
        </is>
      </c>
      <c r="D6" s="72" t="inlineStr">
        <is>
          <t>수입환율(원/USD)</t>
        </is>
      </c>
    </row>
    <row r="7" ht="18" customHeight="1">
      <c r="A7" s="175" t="n">
        <v>45935</v>
      </c>
      <c r="B7" s="175" t="n">
        <v>45941</v>
      </c>
      <c r="C7" s="3" t="inlineStr">
        <is>
          <t>USD</t>
        </is>
      </c>
      <c r="D7" s="7" t="n">
        <v>1405.75</v>
      </c>
    </row>
    <row r="8" ht="18" customHeight="1">
      <c r="A8" s="175" t="n">
        <v>45942</v>
      </c>
      <c r="B8" s="175" t="n">
        <v>45948</v>
      </c>
      <c r="C8" s="3" t="inlineStr">
        <is>
          <t>USD</t>
        </is>
      </c>
      <c r="D8" s="7" t="n">
        <v>1401.9</v>
      </c>
    </row>
    <row r="9" ht="18" customHeight="1">
      <c r="A9" s="175" t="n">
        <v>45949</v>
      </c>
      <c r="B9" s="175" t="n">
        <v>45955</v>
      </c>
      <c r="C9" s="3" t="inlineStr">
        <is>
          <t>USD</t>
        </is>
      </c>
      <c r="D9" s="7" t="n">
        <v>1424.02</v>
      </c>
    </row>
    <row r="10" ht="18" customHeight="1">
      <c r="A10" s="175" t="n">
        <v>45956</v>
      </c>
      <c r="B10" s="175" t="n">
        <v>45962</v>
      </c>
      <c r="C10" s="3" t="inlineStr">
        <is>
          <t>USD</t>
        </is>
      </c>
      <c r="D10" s="7" t="n">
        <v>1426.02</v>
      </c>
    </row>
    <row r="11" ht="18" customHeight="1">
      <c r="A11" s="175" t="n">
        <v>45963</v>
      </c>
      <c r="B11" s="175" t="n">
        <v>45969</v>
      </c>
      <c r="C11" s="3" t="inlineStr">
        <is>
          <t>USD</t>
        </is>
      </c>
      <c r="D11" s="7" t="n">
        <v>1431.82</v>
      </c>
    </row>
    <row r="12" ht="18" customHeight="1">
      <c r="A12" s="175" t="n">
        <v>45970</v>
      </c>
      <c r="B12" s="175" t="n">
        <v>45976</v>
      </c>
      <c r="C12" s="3" t="inlineStr">
        <is>
          <t>USD</t>
        </is>
      </c>
      <c r="D12" s="7" t="n">
        <v>1437.34</v>
      </c>
    </row>
    <row r="13" ht="18" customHeight="1">
      <c r="A13" s="175" t="n">
        <v>45977</v>
      </c>
      <c r="B13" s="175" t="n">
        <v>45983</v>
      </c>
      <c r="C13" s="3" t="inlineStr">
        <is>
          <t>USD</t>
        </is>
      </c>
      <c r="D13" s="7" t="n">
        <v>1461.36</v>
      </c>
    </row>
    <row r="14" ht="18" customHeight="1">
      <c r="A14" s="175" t="n">
        <v>45984</v>
      </c>
      <c r="B14" s="175" t="n">
        <v>45990</v>
      </c>
      <c r="C14" s="3" t="inlineStr">
        <is>
          <t>USD</t>
        </is>
      </c>
      <c r="D14" s="7" t="n">
        <v>1463.08</v>
      </c>
    </row>
    <row r="15" ht="18" customHeight="1">
      <c r="A15" s="175" t="n">
        <v>45991</v>
      </c>
      <c r="B15" s="175" t="n">
        <v>45997</v>
      </c>
      <c r="C15" s="3" t="inlineStr">
        <is>
          <t>USD</t>
        </is>
      </c>
      <c r="D15" s="7" t="n">
        <v>1469.3</v>
      </c>
    </row>
    <row r="16" ht="18" customHeight="1">
      <c r="A16" s="175" t="n">
        <v>45998</v>
      </c>
      <c r="B16" s="175" t="n">
        <v>46004</v>
      </c>
      <c r="C16" s="3" t="inlineStr">
        <is>
          <t>USD</t>
        </is>
      </c>
      <c r="D16" s="7" t="n">
        <v>1468.96</v>
      </c>
    </row>
    <row r="17" ht="18" customHeight="1">
      <c r="A17" s="175" t="n">
        <v>46005</v>
      </c>
      <c r="B17" s="175" t="n">
        <v>46011</v>
      </c>
      <c r="C17" s="3" t="inlineStr">
        <is>
          <t>USD</t>
        </is>
      </c>
      <c r="D17" s="7" t="n">
        <v>1470.28</v>
      </c>
    </row>
    <row r="18" ht="18" customHeight="1">
      <c r="A18" s="175" t="n">
        <v>46012</v>
      </c>
      <c r="B18" s="175" t="n">
        <v>46018</v>
      </c>
      <c r="C18" s="3" t="inlineStr">
        <is>
          <t>USD</t>
        </is>
      </c>
      <c r="D18" s="7" t="n">
        <v>1474.96</v>
      </c>
    </row>
    <row r="19" ht="18" customHeight="1">
      <c r="A19" s="175" t="n">
        <v>46019</v>
      </c>
      <c r="B19" s="175" t="n">
        <v>46025</v>
      </c>
      <c r="C19" s="3" t="inlineStr">
        <is>
          <t>USD</t>
        </is>
      </c>
      <c r="D19" s="7" t="n">
        <v>1475.18</v>
      </c>
    </row>
    <row r="20" ht="18" customHeight="1">
      <c r="A20" s="175" t="n">
        <v>46026</v>
      </c>
      <c r="B20" s="175" t="n">
        <v>46032</v>
      </c>
      <c r="C20" s="3" t="inlineStr">
        <is>
          <t>USD</t>
        </is>
      </c>
      <c r="D20" s="7" t="n">
        <v>1436.5</v>
      </c>
    </row>
    <row r="21" ht="18" customHeight="1">
      <c r="A21" s="175" t="n">
        <v>46033</v>
      </c>
      <c r="B21" s="175" t="n">
        <v>46039</v>
      </c>
      <c r="C21" s="3" t="inlineStr">
        <is>
          <t>USD</t>
        </is>
      </c>
      <c r="D21" s="7" t="n">
        <v>1446.46</v>
      </c>
    </row>
    <row r="22" ht="18" customHeight="1">
      <c r="A22" s="175" t="n">
        <v>46040</v>
      </c>
      <c r="B22" s="175" t="n">
        <v>46046</v>
      </c>
      <c r="C22" s="3" t="inlineStr">
        <is>
          <t>USD</t>
        </is>
      </c>
      <c r="D22" s="7" t="n">
        <v>1467.96</v>
      </c>
    </row>
    <row r="23" ht="18" customHeight="1">
      <c r="A23" s="175" t="n">
        <v>46047</v>
      </c>
      <c r="B23" s="175" t="n">
        <v>46053</v>
      </c>
      <c r="C23" s="3" t="inlineStr">
        <is>
          <t>USD</t>
        </is>
      </c>
      <c r="D23" s="7" t="n">
        <v>1473.06</v>
      </c>
    </row>
    <row r="24" ht="18" customHeight="1">
      <c r="A24" s="175" t="n">
        <v>46054</v>
      </c>
      <c r="B24" s="175" t="n">
        <v>46060</v>
      </c>
      <c r="C24" s="3" t="inlineStr">
        <is>
          <t>USD</t>
        </is>
      </c>
      <c r="D24" s="7" t="n">
        <v>1442.88</v>
      </c>
    </row>
    <row r="25" ht="18" customHeight="1">
      <c r="A25" s="175" t="n">
        <v>46061</v>
      </c>
      <c r="B25" s="175" t="n">
        <v>46067</v>
      </c>
      <c r="C25" s="3" t="inlineStr">
        <is>
          <t>USD</t>
        </is>
      </c>
      <c r="D25" s="7" t="n">
        <v>1451.66</v>
      </c>
    </row>
    <row r="26" ht="18" customHeight="1">
      <c r="A26" s="175" t="n">
        <v>46068</v>
      </c>
      <c r="B26" s="175" t="n">
        <v>46074</v>
      </c>
      <c r="C26" s="3" t="inlineStr">
        <is>
          <t>USD</t>
        </is>
      </c>
      <c r="D26" s="7" t="n">
        <v>1458.02</v>
      </c>
    </row>
    <row r="27" ht="18" customHeight="1">
      <c r="A27" s="175" t="n">
        <v>46075</v>
      </c>
      <c r="B27" s="175" t="n">
        <v>46081</v>
      </c>
      <c r="C27" s="3" t="inlineStr">
        <is>
          <t>USD</t>
        </is>
      </c>
      <c r="D27" s="7" t="n">
        <v>1446.9</v>
      </c>
    </row>
    <row r="28" ht="18" customHeight="1">
      <c r="A28" s="175" t="n">
        <v>46082</v>
      </c>
      <c r="B28" s="175" t="n">
        <v>46088</v>
      </c>
      <c r="C28" s="3" t="inlineStr">
        <is>
          <t>USD</t>
        </is>
      </c>
      <c r="D28" s="7" t="n">
        <v>1439.26</v>
      </c>
    </row>
    <row r="29" ht="18" customHeight="1">
      <c r="A29" s="175" t="n">
        <v>46089</v>
      </c>
      <c r="B29" s="175" t="n">
        <v>46095</v>
      </c>
      <c r="C29" s="3" t="inlineStr">
        <is>
          <t>USD</t>
        </is>
      </c>
      <c r="D29" s="7" t="n">
        <v>1460.75</v>
      </c>
    </row>
    <row r="30" ht="18" customHeight="1">
      <c r="A30" s="175" t="n">
        <v>46096</v>
      </c>
      <c r="B30" s="175" t="n">
        <v>46102</v>
      </c>
      <c r="C30" s="3" t="inlineStr">
        <is>
          <t>USD</t>
        </is>
      </c>
      <c r="D30" s="7" t="n">
        <v>1477.5</v>
      </c>
    </row>
    <row r="31" ht="18" customHeight="1">
      <c r="A31" s="175" t="n">
        <v>46103</v>
      </c>
      <c r="B31" s="175" t="n">
        <v>46109</v>
      </c>
      <c r="C31" s="3" t="inlineStr">
        <is>
          <t>USD</t>
        </is>
      </c>
      <c r="D31" s="7" t="n">
        <v>1492.56</v>
      </c>
    </row>
    <row r="32" ht="18" customHeight="1">
      <c r="A32" s="175" t="n">
        <v>46110</v>
      </c>
      <c r="B32" s="175" t="n">
        <v>46116</v>
      </c>
      <c r="C32" s="3" t="inlineStr">
        <is>
          <t>USD</t>
        </is>
      </c>
      <c r="D32" s="7" t="n">
        <v>1500.92</v>
      </c>
    </row>
    <row r="33" ht="18" customHeight="1">
      <c r="A33" s="175" t="n">
        <v>46117</v>
      </c>
      <c r="B33" s="175" t="n">
        <v>46123</v>
      </c>
      <c r="C33" s="3" t="inlineStr">
        <is>
          <t>USD</t>
        </is>
      </c>
      <c r="D33" s="7" t="n">
        <v>1515.72</v>
      </c>
    </row>
    <row r="34" ht="18" customHeight="1">
      <c r="A34" s="175" t="n">
        <v>46124</v>
      </c>
      <c r="B34" s="175" t="n">
        <v>46130</v>
      </c>
      <c r="C34" s="3" t="inlineStr">
        <is>
          <t>USD</t>
        </is>
      </c>
      <c r="D34" s="7" t="n">
        <v>1495.76</v>
      </c>
    </row>
    <row r="35" ht="18" customHeight="1">
      <c r="A35" s="175" t="n">
        <v>46131</v>
      </c>
      <c r="B35" s="175" t="n">
        <v>46137</v>
      </c>
      <c r="C35" s="3" t="inlineStr">
        <is>
          <t>USD</t>
        </is>
      </c>
      <c r="D35" s="7" t="n">
        <v>1479.34</v>
      </c>
    </row>
    <row r="36" ht="18" customHeight="1">
      <c r="A36" s="175" t="n">
        <v>46138</v>
      </c>
      <c r="B36" s="175" t="n">
        <v>46144</v>
      </c>
      <c r="C36" s="3" t="inlineStr">
        <is>
          <t>USD</t>
        </is>
      </c>
      <c r="D36" s="7" t="n">
        <v>1476.92</v>
      </c>
    </row>
    <row r="37" ht="18" customHeight="1">
      <c r="A37" s="175" t="n">
        <v>46145</v>
      </c>
      <c r="B37" s="175" t="n">
        <v>46151</v>
      </c>
      <c r="C37" s="3" t="inlineStr">
        <is>
          <t>USD</t>
        </is>
      </c>
      <c r="D37" s="7" t="n">
        <v>1476.35</v>
      </c>
    </row>
    <row r="38">
      <c r="A38" s="175" t="n">
        <v>46152</v>
      </c>
      <c r="B38" s="175" t="n">
        <v>46158</v>
      </c>
      <c r="C38" s="3" t="inlineStr">
        <is>
          <t>USD</t>
        </is>
      </c>
      <c r="D38" s="7" t="n">
        <v>1465.73</v>
      </c>
    </row>
    <row r="39">
      <c r="A39" s="175" t="n">
        <v>46159</v>
      </c>
      <c r="B39" s="175" t="n">
        <v>46165</v>
      </c>
      <c r="C39" s="3" t="inlineStr">
        <is>
          <t>USD</t>
        </is>
      </c>
      <c r="D39" s="7" t="n">
        <v>1482.04</v>
      </c>
    </row>
    <row r="40">
      <c r="A40" s="210" t="n">
        <v>46166</v>
      </c>
      <c r="B40" s="210" t="n">
        <v>46172</v>
      </c>
      <c r="C40" s="207" t="inlineStr">
        <is>
          <t>USD</t>
        </is>
      </c>
      <c r="D40" s="211" t="n">
        <v>1504.04</v>
      </c>
    </row>
    <row r="41">
      <c r="A41" s="210" t="n">
        <v>46173</v>
      </c>
      <c r="B41" s="210" t="n">
        <v>46179</v>
      </c>
      <c r="C41" s="207" t="inlineStr">
        <is>
          <t>USD</t>
        </is>
      </c>
      <c r="D41" s="211" t="n">
        <v>1507.15</v>
      </c>
    </row>
    <row r="42">
      <c r="A42" s="210" t="n">
        <v>46180</v>
      </c>
      <c r="B42" s="210" t="n">
        <v>46186</v>
      </c>
      <c r="C42" s="207" t="inlineStr">
        <is>
          <t>USD</t>
        </is>
      </c>
      <c r="D42" s="211" t="n">
        <v>1514.68</v>
      </c>
    </row>
    <row r="43">
      <c r="A43" s="282" t="n">
        <v>46187</v>
      </c>
      <c r="B43" s="282" t="n">
        <v>46193</v>
      </c>
      <c r="C43" s="207" t="inlineStr">
        <is>
          <t>USD</t>
        </is>
      </c>
      <c r="D43" s="211" t="n">
        <v>1531.46</v>
      </c>
    </row>
    <row r="44">
      <c r="A44" s="282" t="n">
        <v>46194</v>
      </c>
      <c r="B44" s="282" t="n">
        <v>46200</v>
      </c>
      <c r="C44" s="207" t="inlineStr">
        <is>
          <t>USD</t>
        </is>
      </c>
      <c r="D44" s="211" t="n">
        <v>1516.02</v>
      </c>
    </row>
    <row r="45">
      <c r="A45" s="282" t="n">
        <v>46201</v>
      </c>
      <c r="B45" s="282" t="n">
        <v>46207</v>
      </c>
      <c r="C45" s="207" t="inlineStr">
        <is>
          <t>USD</t>
        </is>
      </c>
      <c r="D45" s="211" t="n">
        <v>1538.3</v>
      </c>
    </row>
  </sheetData>
  <mergeCells count="4">
    <mergeCell ref="A1:D1"/>
    <mergeCell ref="A4:D4"/>
    <mergeCell ref="A3:D3"/>
    <mergeCell ref="A2:D2"/>
  </mergeCells>
  <hyperlinks>
    <hyperlink xmlns:r="http://schemas.openxmlformats.org/officeDocument/2006/relationships" ref="A2" r:id="rId1"/>
  </hyperlink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2026-04-04T14:28:43Z</dcterms:created>
  <dcterms:modified xmlns:dcterms="http://purl.org/dc/terms/" xmlns:xsi="http://www.w3.org/2001/XMLSchema-instance" xsi:type="dcterms:W3CDTF">2026-07-07T07:45:12Z</dcterms:modified>
  <cp:lastModifiedBy>원석 도</cp:lastModifiedBy>
  <cp:revision>0</cp:revision>
</cp:coreProperties>
</file>