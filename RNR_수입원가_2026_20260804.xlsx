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'외화송금내역'!$A$3:$L$40</definedName>
    <definedName name="RemitTable2">'외화송금내역'!$A$43:$L$97</definedName>
    <definedName name="FxRateTable">'환율'!$A$7:$D$50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#,##0.0"/>
    <numFmt numFmtId="166" formatCode="0.0%"/>
    <numFmt numFmtId="167" formatCode="0&quot;일&quot;"/>
    <numFmt numFmtId="168" formatCode="yyyy-mm-dd h:mm:ss"/>
    <numFmt numFmtId="169" formatCode="yyyy-mm-dd"/>
    <numFmt numFmtId="170" formatCode="0.0"/>
    <numFmt numFmtId="171" formatCode="0.00000"/>
  </numFmts>
  <fonts count="27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  <font>
      <name val="맑은 고딕"/>
      <color theme="1"/>
      <sz val="9"/>
    </font>
    <font>
      <name val="맑은 고딕"/>
      <b val="1"/>
      <sz val="9"/>
    </font>
    <font>
      <name val="맑은 고딕"/>
      <sz val="9"/>
    </font>
  </fonts>
  <fills count="2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/>
  </borders>
  <cellStyleXfs count="1">
    <xf numFmtId="0" fontId="5" fillId="0" borderId="0"/>
  </cellStyleXfs>
  <cellXfs count="3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  <xf numFmtId="168" fontId="20" fillId="14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4" fontId="20" fillId="0" borderId="6" applyAlignment="1" pivotButton="0" quotePrefix="0" xfId="0">
      <alignment horizontal="center" vertical="center"/>
    </xf>
    <xf numFmtId="4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 wrapText="1"/>
    </xf>
    <xf numFmtId="10" fontId="20" fillId="0" borderId="6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4" fontId="3" fillId="3" borderId="6" applyAlignment="1" pivotButton="0" quotePrefix="0" xfId="0">
      <alignment horizontal="right" vertical="center" wrapText="1"/>
    </xf>
    <xf numFmtId="166" fontId="3" fillId="3" borderId="6" applyAlignment="1" pivotButton="0" quotePrefix="0" xfId="0">
      <alignment horizontal="right" vertical="center"/>
    </xf>
    <xf numFmtId="3" fontId="3" fillId="3" borderId="6" applyAlignment="1" pivotButton="0" quotePrefix="0" xfId="0">
      <alignment horizontal="right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 wrapText="1"/>
    </xf>
    <xf numFmtId="4" fontId="24" fillId="18" borderId="1" applyAlignment="1" pivotButton="0" quotePrefix="0" xfId="0">
      <alignment horizontal="center" vertical="center"/>
    </xf>
    <xf numFmtId="167" fontId="24" fillId="18" borderId="1" applyAlignment="1" pivotButton="0" quotePrefix="0" xfId="0">
      <alignment horizontal="center" vertical="center"/>
    </xf>
    <xf numFmtId="169" fontId="24" fillId="18" borderId="1" applyAlignment="1" pivotButton="0" quotePrefix="0" xfId="0">
      <alignment horizontal="center" vertical="center"/>
    </xf>
    <xf numFmtId="165" fontId="24" fillId="19" borderId="1" applyAlignment="1" pivotButton="0" quotePrefix="0" xfId="0">
      <alignment horizontal="center" vertical="center"/>
    </xf>
    <xf numFmtId="3" fontId="24" fillId="19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20" borderId="11" applyAlignment="1" pivotButton="0" quotePrefix="0" xfId="0">
      <alignment horizontal="center" vertical="center"/>
    </xf>
    <xf numFmtId="169" fontId="26" fillId="0" borderId="11" applyAlignment="1" pivotButton="0" quotePrefix="0" xfId="0">
      <alignment horizontal="center" vertical="center"/>
    </xf>
    <xf numFmtId="4" fontId="26" fillId="0" borderId="11" applyAlignment="1" pivotButton="0" quotePrefix="0" xfId="0">
      <alignment horizontal="right" vertical="center"/>
    </xf>
    <xf numFmtId="0" fontId="26" fillId="19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left" vertical="center"/>
    </xf>
    <xf numFmtId="2" fontId="25" fillId="20" borderId="11" applyAlignment="1" pivotButton="0" quotePrefix="0" xfId="0">
      <alignment horizontal="center" vertical="center"/>
    </xf>
    <xf numFmtId="3" fontId="25" fillId="20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left" vertical="center"/>
    </xf>
    <xf numFmtId="17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center" vertical="center"/>
    </xf>
    <xf numFmtId="3" fontId="26" fillId="0" borderId="11" applyAlignment="1" pivotButton="0" quotePrefix="0" xfId="0">
      <alignment horizontal="right" vertical="center"/>
    </xf>
    <xf numFmtId="0" fontId="26" fillId="20" borderId="11" applyAlignment="1" pivotButton="0" quotePrefix="0" xfId="0">
      <alignment horizontal="center" vertical="center"/>
    </xf>
    <xf numFmtId="0" fontId="26" fillId="20" borderId="11" applyAlignment="1" pivotButton="0" quotePrefix="0" xfId="0">
      <alignment horizontal="left" vertical="center" wrapText="1"/>
    </xf>
    <xf numFmtId="2" fontId="26" fillId="20" borderId="11" applyAlignment="1" pivotButton="0" quotePrefix="0" xfId="0">
      <alignment horizontal="center" vertical="center"/>
    </xf>
    <xf numFmtId="3" fontId="26" fillId="20" borderId="11" applyAlignment="1" pivotButton="0" quotePrefix="0" xfId="0">
      <alignment horizontal="center" vertical="center"/>
    </xf>
    <xf numFmtId="4" fontId="25" fillId="20" borderId="11" applyAlignment="1" pivotButton="0" quotePrefix="0" xfId="0">
      <alignment horizontal="right" vertical="center"/>
    </xf>
    <xf numFmtId="3" fontId="25" fillId="20" borderId="11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3" fontId="24" fillId="18" borderId="1" applyAlignment="1" pivotButton="0" quotePrefix="0" xfId="0">
      <alignment horizontal="center" vertical="center"/>
    </xf>
    <xf numFmtId="171" fontId="26" fillId="0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pivotButton="0" quotePrefix="0" xfId="0"/>
    <xf numFmtId="0" fontId="24" fillId="18" borderId="6" applyAlignment="1" pivotButton="0" quotePrefix="0" xfId="0">
      <alignment horizontal="center" vertical="center"/>
    </xf>
    <xf numFmtId="0" fontId="24" fillId="18" borderId="6" applyAlignment="1" pivotButton="0" quotePrefix="0" xfId="0">
      <alignment horizontal="center" vertical="center" wrapText="1"/>
    </xf>
    <xf numFmtId="4" fontId="24" fillId="18" borderId="6" applyAlignment="1" pivotButton="0" quotePrefix="0" xfId="0">
      <alignment horizontal="center" vertical="center"/>
    </xf>
    <xf numFmtId="167" fontId="24" fillId="18" borderId="6" applyAlignment="1" pivotButton="0" quotePrefix="0" xfId="0">
      <alignment horizontal="center" vertical="center"/>
    </xf>
    <xf numFmtId="169" fontId="24" fillId="18" borderId="6" applyAlignment="1" pivotButton="0" quotePrefix="0" xfId="0">
      <alignment horizontal="center" vertical="center"/>
    </xf>
    <xf numFmtId="3" fontId="24" fillId="18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168" fontId="20" fillId="12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/>
    </xf>
    <xf numFmtId="4" fontId="3" fillId="4" borderId="6" applyAlignment="1" pivotButton="0" quotePrefix="0" xfId="0">
      <alignment horizontal="right" vertical="center"/>
    </xf>
    <xf numFmtId="4" fontId="3" fillId="4" borderId="6" applyAlignment="1" pivotButton="0" quotePrefix="0" xfId="0">
      <alignment horizontal="center" vertical="center"/>
    </xf>
    <xf numFmtId="3" fontId="3" fillId="4" borderId="6" applyAlignment="1" pivotButton="0" quotePrefix="0" xfId="0">
      <alignment horizontal="right" vertical="center"/>
    </xf>
    <xf numFmtId="3" fontId="3" fillId="4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4" fontId="3" fillId="6" borderId="6" applyAlignment="1" pivotButton="0" quotePrefix="0" xfId="0">
      <alignment horizontal="right" vertical="center" wrapText="1"/>
    </xf>
    <xf numFmtId="166" fontId="3" fillId="6" borderId="6" applyAlignment="1" pivotButton="0" quotePrefix="0" xfId="0">
      <alignment horizontal="right" vertical="center"/>
    </xf>
    <xf numFmtId="3" fontId="3" fillId="6" borderId="6" applyAlignment="1" pivotButton="0" quotePrefix="0" xfId="0">
      <alignment horizontal="right" vertical="center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 wrapText="1"/>
    </xf>
    <xf numFmtId="164" fontId="3" fillId="5" borderId="6" applyAlignment="1" pivotButton="0" quotePrefix="0" xfId="0">
      <alignment horizontal="center" vertical="center" wrapText="1"/>
    </xf>
    <xf numFmtId="164" fontId="3" fillId="5" borderId="6" applyAlignment="1" pivotButton="0" quotePrefix="0" xfId="0">
      <alignment horizontal="center" vertical="center"/>
    </xf>
    <xf numFmtId="4" fontId="3" fillId="5" borderId="6" applyAlignment="1" pivotButton="0" quotePrefix="0" xfId="0">
      <alignment horizontal="right" vertical="center"/>
    </xf>
    <xf numFmtId="4" fontId="3" fillId="5" borderId="6" applyAlignment="1" pivotButton="0" quotePrefix="0" xfId="0">
      <alignment horizontal="center" vertical="center"/>
    </xf>
    <xf numFmtId="3" fontId="3" fillId="5" borderId="6" applyAlignment="1" pivotButton="0" quotePrefix="0" xfId="0">
      <alignment horizontal="right" vertical="center"/>
    </xf>
    <xf numFmtId="3" fontId="3" fillId="5" borderId="6" applyAlignment="1" pivotButton="0" quotePrefix="0" xfId="0">
      <alignment horizontal="center" vertical="center"/>
    </xf>
    <xf numFmtId="0" fontId="20" fillId="10" borderId="5" applyAlignment="1" pivotButton="0" quotePrefix="0" xfId="0">
      <alignment horizontal="center" vertical="center" wrapText="1"/>
    </xf>
    <xf numFmtId="164" fontId="20" fillId="10" borderId="5" applyAlignment="1" pivotButton="0" quotePrefix="0" xfId="0">
      <alignment horizontal="center" vertical="center" wrapText="1"/>
    </xf>
    <xf numFmtId="4" fontId="20" fillId="10" borderId="5" applyAlignment="1" pivotButton="0" quotePrefix="0" xfId="0">
      <alignment horizontal="right" vertical="center" wrapText="1"/>
    </xf>
    <xf numFmtId="4" fontId="20" fillId="10" borderId="5" applyAlignment="1" pivotButton="0" quotePrefix="0" xfId="0">
      <alignment horizontal="center" vertical="center"/>
    </xf>
    <xf numFmtId="3" fontId="20" fillId="10" borderId="5" applyAlignment="1" pivotButton="0" quotePrefix="0" xfId="0">
      <alignment horizontal="right" vertical="center" wrapText="1"/>
    </xf>
    <xf numFmtId="3" fontId="20" fillId="10" borderId="5" applyAlignment="1" pivotButton="0" quotePrefix="0" xfId="0">
      <alignment horizontal="center" vertical="center" wrapText="1"/>
    </xf>
    <xf numFmtId="4" fontId="20" fillId="12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—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— 디지털시네마 프로젝터
(정보기술협정 양허품목)</t>
      </text>
    </comment>
    <comment ref="S15" authorId="0" shapeId="0">
      <text>
        <t>ITA(정보기술협정) 관세면제
HS 8414.59 —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—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8543 —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Q32" authorId="0" shapeId="0">
      <text>
        <t>신고환율 1,686.20 = 신고필증 14008-26-101205M 56번 (EUR 기준). USD 주간 고시환율 미적용 건이라 값으로 직접 기입</t>
      </text>
    </comment>
    <comment ref="S32" authorId="0" shapeId="0">
      <text>
        <t>관세 0원 — 한-EU FTA 협정세율(세율구분 FEU1 이가) 적용, HS 8414.59-9000 (신고필증 14008-26-101205M, 수리일 2026-07-27)</t>
      </text>
    </comment>
    <comment ref="S35" authorId="0" shapeId="0">
      <text>
        <t>ITA(정보기술협정) 관세면제
HS 8543 — 디지털시네마 서버/IMB
(정보기술협정 양허품목)</t>
      </text>
    </comment>
    <comment ref="Y36" authorId="0" shapeId="0">
      <text>
        <t>FedEx 2026-06월 인보이스 48,920원 (AWB 577262341268, 2026-05-04 GDC HK 발송) 지출결의 2026-1597</t>
      </text>
    </comment>
    <comment ref="S37" authorId="0" shapeId="0">
      <text>
        <t>ITA(정보기술협정) 관세면제
HS 8543 — 디지털시네마 서버/IMB
(정보기술협정 양허품목)</t>
      </text>
    </comment>
    <comment ref="S38" authorId="0" shapeId="0">
      <text>
        <t>ITA(정보기술협정) 관세면제
HS 8543 — 디지털시네마 서버/IMB
(정보기술협정 양허품목)</t>
      </text>
    </comment>
    <comment ref="Y39" authorId="0" shapeId="0">
      <text>
        <t>FedEx 2026-05월 인보이스 159,250원 선반영
(AWB 870900398456, 4/21 INTEG 발송, 4/27 배달)
인보이스/송금/수입신고 미도래 - 미확정 건</t>
      </text>
    </comment>
    <comment ref="S41" authorId="0" shapeId="0">
      <text>
        <t>관세 0원 — 수입신고필증 세율구분 'C'(WTO협정/양허세율) 적용
HS 8518 음향기기 (loudspeakers/amplifier)
원산지: 우크라이나(UA-A)</t>
      </text>
    </comment>
    <comment ref="S42" authorId="0" shapeId="0">
      <text>
        <t>관세 0원 — 수입신고필증 세율구분 'C'(WTO협정/양허세율) 적용
HS 8518 음향기기 (loudspeakers/amplifier)
원산지: 우크라이나(UA-A)</t>
      </text>
    </comment>
    <comment ref="S43" authorId="0" shapeId="0">
      <text>
        <t>관세 0원 — 수입신고필증 세율구분 'C'(가가, WTO/ITA 양허) 적용
HS 8529.90-6010 프로젝터 부품 (레이저광원모듈)
원산지: 중국(CN-A)
(신고번호 14008-26-101317M, 수리일 2026-06-29)</t>
      </text>
    </comment>
    <comment ref="S44" authorId="0" shapeId="0">
      <text>
        <t>ITA(정보기술협정) 관세면제 HS 8517.62-9020 / 8471.80-9000 — 시네마 오디오프로세서 및 HDMI 모듈 (신고필증 세율구분 C 가가)</t>
      </text>
    </comment>
    <comment ref="T44" authorId="0" shapeId="0">
      <text>
        <t>수입신고 23176-26-472403M 결제금액 USD 15,870 (인보이스 GDC-INV-2606-005 USD 14,730 + HDMI Module 3EA USD 1,140). 납부고지서(2026-07-10 재발행) 기준 가산세(보정이자) 79,130원 별도 부과, 취득원가 제외</t>
      </text>
    </comment>
    <comment ref="H45" authorId="0" shapeId="0">
      <text>
        <t>수입신고 23176-26-606930M 결제금액 USD 5,499 중 ASSY FAN 2EA 귀속분. 관세/부가세는 USD 비율 안분 (CPO701 54 : CPO703 5,445)</t>
      </text>
    </comment>
    <comment ref="H46" authorId="0" shapeId="0">
      <text>
        <t>수입신고 23176-26-606930M 결제금액 USD 5,499 중 Lens 1EA 귀속분. 관세/부가세는 USD 비율 안분 (CPO701 54 : CPO703 5,445)</t>
      </text>
    </comment>
    <comment ref="S48" authorId="0" shapeId="0">
      <text>
        <t>ITA(정보기술협정) 관세면제 HS 8529.90-6029 — 디지털시네마 서버 부품 (신고필증 세율구분 C 가가)</t>
      </text>
    </comment>
    <comment ref="H49" authorId="0" shapeId="0">
      <text>
        <t>수입신고 총 결제금액 USD 335,110 중 지출결의 2026-1667 물량내역 기준 GPO482 귀속분. 물량내역 미기재 2개 란(Advertising Board USD 200, Coaxial Cable USD 126)은 GPO482에 합산 (총액 일치 목적)</t>
      </text>
    </comment>
    <comment ref="S49" authorId="0" shapeId="0">
      <text>
        <t>관세 0원 — 신고필증 14008-26-101364M 세율구분 C(가가, WTO/ITA 양허) 및 FCN1(한중 FTA 협정세율) 적용</t>
      </text>
    </comment>
    <comment ref="S50" authorId="0" shapeId="0">
      <text>
        <t>관세 0원 — 신고필증 14008-26-101364M 세율구분 FCN1(한중 FTA 협정세율) 적용, HS 9004.90-2000</t>
      </text>
    </comment>
    <comment ref="H78" authorId="0" shapeId="0">
      <text>
        <t>GDC-INV-2606-025 : gross USD 33,309 차감 구형서버 보상판매 Credit GDC-CN-2604-001 USD 28,000 = 실지급 USD 5,309</t>
      </text>
    </comment>
    <comment ref="S80" authorId="0" shapeId="0">
      <text>
        <t>관세율 0.00% - 세율구분 C(가가, WTO/ITA 양허)
수리반환 재수입 건, 부가세만 과세
(신고필증 2235626351613M)</t>
      </text>
    </comment>
    <comment ref="Y80" authorId="0" shapeId="0">
      <text>
        <t>DHL 2026-05월 인보이스 (AWB 5094871784 = 수입신고필증 B/L 일치)
GDC RMA 수리반환 건, 지출결의 2026-1344, 6/9 집행</t>
      </text>
    </comment>
    <comment ref="Y81" authorId="0" shapeId="0">
      <text>
        <t>진로직스 운임 정정 추가정산금 230,890원 반영 (정정 전 4,827,602 → 정정 후 5,058,492, HFIKUO26401C, 입항지 부산 변경분) 지출결의 2026-1536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100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2026-08-04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부가세(KRW,참고)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3" t="n">
        <v>1</v>
      </c>
      <c r="B5" s="3" t="inlineStr">
        <is>
          <t>IPO016</t>
        </is>
      </c>
      <c r="C5" s="4" t="inlineStr">
        <is>
          <t>Integ Process Group</t>
        </is>
      </c>
      <c r="D5" s="3" t="inlineStr">
        <is>
          <t>50% TT advance, 50% Net 30</t>
        </is>
      </c>
      <c r="E5" s="4" t="inlineStr">
        <is>
          <t>부품</t>
        </is>
      </c>
      <c r="F5" s="174" t="n">
        <v>45881</v>
      </c>
      <c r="G5" s="175" t="n">
        <v>46146</v>
      </c>
      <c r="H5" s="7" t="n">
        <v>6800</v>
      </c>
      <c r="I5" s="33" t="n">
        <v>1475.2</v>
      </c>
      <c r="J5" s="9" t="n">
        <v>10031360</v>
      </c>
      <c r="K5" s="9" t="n">
        <v>10031360</v>
      </c>
      <c r="L5" s="9" t="n">
        <v>10000</v>
      </c>
      <c r="M5" s="9" t="n">
        <v>8000</v>
      </c>
      <c r="N5" s="3" t="inlineStr">
        <is>
          <t>JNIOR Model 410 (20EA)</t>
        </is>
      </c>
      <c r="O5" s="175" t="n">
        <v>45905</v>
      </c>
      <c r="P5" s="3" t="inlineStr">
        <is>
          <t>883504210357</t>
        </is>
      </c>
      <c r="Q5" s="7">
        <f>IF(P5="","",IFERROR(VLOOKUP(O5,FxRateTable,4,TRUE),""))</f>
        <v/>
      </c>
      <c r="R5" s="7">
        <f>IF(P5="","",H5)</f>
        <v/>
      </c>
      <c r="S5" s="9" t="n">
        <v>0</v>
      </c>
      <c r="T5" s="9" t="n">
        <v>954760</v>
      </c>
      <c r="U5" s="174" t="n">
        <v>45905</v>
      </c>
      <c r="V5" s="3" t="inlineStr">
        <is>
          <t>인천세관</t>
        </is>
      </c>
      <c r="W5" s="9" t="n">
        <v>0</v>
      </c>
      <c r="X5" s="4" t="inlineStr">
        <is>
          <t>DHL</t>
        </is>
      </c>
      <c r="Y5" s="9" t="n">
        <v>0</v>
      </c>
      <c r="Z5" s="9">
        <f>S5+W5</f>
        <v/>
      </c>
      <c r="AA5" s="123">
        <f>K5+L5+M5+IFERROR(VLOOKUP(B5,RemitTable2,9,FALSE),0)+Y5+Z5</f>
        <v/>
      </c>
      <c r="AB5" s="11" t="n">
        <v>20</v>
      </c>
      <c r="AC5" s="123">
        <f>ROUND(AA5/AB5,0)</f>
        <v/>
      </c>
      <c r="AD5" s="3" t="inlineStr">
        <is>
          <t>2026-05</t>
        </is>
      </c>
      <c r="AE5" s="175" t="inlineStr">
        <is>
          <t>-</t>
        </is>
      </c>
      <c r="AF5" s="174" t="inlineStr">
        <is>
          <t>-</t>
        </is>
      </c>
    </row>
    <row r="6" ht="15.75" customHeight="1">
      <c r="A6" s="3" t="n">
        <v>2</v>
      </c>
      <c r="B6" s="3" t="inlineStr">
        <is>
          <t>CPO678-1</t>
        </is>
      </c>
      <c r="C6" s="4" t="inlineStr">
        <is>
          <t>Christie</t>
        </is>
      </c>
      <c r="D6" s="3" t="inlineStr">
        <is>
          <t>Net 45 days</t>
        </is>
      </c>
      <c r="E6" s="4" t="inlineStr">
        <is>
          <t>장비</t>
        </is>
      </c>
      <c r="F6" s="174" t="n">
        <v>45965</v>
      </c>
      <c r="G6" s="175" t="n">
        <v>46007</v>
      </c>
      <c r="H6" s="7" t="n">
        <v>139083</v>
      </c>
      <c r="I6" s="33" t="n">
        <v>1479.7</v>
      </c>
      <c r="J6" s="9" t="n">
        <v>205801115</v>
      </c>
      <c r="K6" s="9" t="n">
        <v>205801115</v>
      </c>
      <c r="L6" s="9" t="n">
        <v>12110</v>
      </c>
      <c r="M6" s="9" t="n">
        <v>7751</v>
      </c>
      <c r="N6" s="3" t="inlineStr">
        <is>
          <t>Projector</t>
        </is>
      </c>
      <c r="O6" s="175" t="n">
        <v>46002</v>
      </c>
      <c r="P6" s="3" t="inlineStr">
        <is>
          <t>1219925801471M</t>
        </is>
      </c>
      <c r="Q6" s="7">
        <f>IF(P6="","",IFERROR(VLOOKUP(O6,FxRateTable,4,TRUE),""))</f>
        <v/>
      </c>
      <c r="R6" s="7">
        <f>IF(P6="","",H6)</f>
        <v/>
      </c>
      <c r="S6" s="9" t="n">
        <v>1682291</v>
      </c>
      <c r="T6" s="9" t="n">
        <v>20784342</v>
      </c>
      <c r="U6" s="174" t="n">
        <v>46017</v>
      </c>
      <c r="V6" s="3" t="inlineStr">
        <is>
          <t>다민관세사</t>
        </is>
      </c>
      <c r="W6" s="9" t="n">
        <v>149729</v>
      </c>
      <c r="X6" s="4" t="inlineStr">
        <is>
          <t>진로직스</t>
        </is>
      </c>
      <c r="Y6" s="9" t="n">
        <v>2470670</v>
      </c>
      <c r="Z6" s="9">
        <f>S6+W6</f>
        <v/>
      </c>
      <c r="AA6" s="10">
        <f>K6+L6+M6+IFERROR(VLOOKUP(B6,RemitTable2,9,FALSE),0)+Y6+Z6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175" t="inlineStr">
        <is>
          <t>-</t>
        </is>
      </c>
      <c r="AF6" s="174" t="inlineStr">
        <is>
          <t>-</t>
        </is>
      </c>
    </row>
    <row r="7" ht="15.75" customHeight="1">
      <c r="A7" s="3" t="n">
        <v>3</v>
      </c>
      <c r="B7" s="3" t="inlineStr">
        <is>
          <t>GPO451</t>
        </is>
      </c>
      <c r="C7" s="4" t="inlineStr">
        <is>
          <t>GDC</t>
        </is>
      </c>
      <c r="D7" s="3" t="inlineStr">
        <is>
          <t>Net 30 days</t>
        </is>
      </c>
      <c r="E7" s="4" t="inlineStr">
        <is>
          <t>장비</t>
        </is>
      </c>
      <c r="F7" s="174" t="n">
        <v>45982</v>
      </c>
      <c r="G7" s="175" t="n">
        <v>46020</v>
      </c>
      <c r="H7" s="7" t="n">
        <v>9060</v>
      </c>
      <c r="I7" s="33" t="n">
        <v>1439.1</v>
      </c>
      <c r="J7" s="9" t="n">
        <v>13038246</v>
      </c>
      <c r="K7" s="9" t="n">
        <v>13038246</v>
      </c>
      <c r="L7" s="9" t="n">
        <v>6537</v>
      </c>
      <c r="M7" s="9" t="n">
        <v>5229</v>
      </c>
      <c r="N7" s="3" t="inlineStr">
        <is>
          <t>IMB/Server</t>
        </is>
      </c>
      <c r="O7" s="175" t="n">
        <v>45996</v>
      </c>
      <c r="P7" s="3" t="inlineStr">
        <is>
          <t>2317625939353M</t>
        </is>
      </c>
      <c r="Q7" s="7">
        <f>IF(P7="","",IFERROR(VLOOKUP(O7,FxRateTable,4,TRUE),""))</f>
        <v/>
      </c>
      <c r="R7" s="7">
        <f>IF(P7="","",H7)</f>
        <v/>
      </c>
      <c r="S7" s="9" t="n">
        <v>0</v>
      </c>
      <c r="T7" s="9" t="n">
        <v>1352610</v>
      </c>
      <c r="U7" s="174" t="n">
        <v>46011</v>
      </c>
      <c r="V7" s="3" t="inlineStr">
        <is>
          <t>-</t>
        </is>
      </c>
      <c r="W7" s="9" t="n">
        <v>0</v>
      </c>
      <c r="X7" s="4" t="inlineStr">
        <is>
          <t>Fedex</t>
        </is>
      </c>
      <c r="Y7" s="9" t="n">
        <v>0</v>
      </c>
      <c r="Z7" s="9">
        <f>S7+W7</f>
        <v/>
      </c>
      <c r="AA7" s="10">
        <f>K7+L7+M7+IFERROR(VLOOKUP(B7,RemitTable2,9,FALSE),0)+Y7+Z7</f>
        <v/>
      </c>
      <c r="AB7" s="11" t="n">
        <v>1</v>
      </c>
      <c r="AC7" s="10">
        <f>ROUND(AA7/AB7,0)</f>
        <v/>
      </c>
      <c r="AD7" s="3" t="inlineStr">
        <is>
          <t>2025-12</t>
        </is>
      </c>
      <c r="AE7" s="175" t="inlineStr">
        <is>
          <t>-</t>
        </is>
      </c>
      <c r="AF7" s="174" t="inlineStr">
        <is>
          <t>-</t>
        </is>
      </c>
    </row>
    <row r="8" ht="15.75" customHeight="1">
      <c r="A8" s="3" t="n">
        <v>4</v>
      </c>
      <c r="B8" s="3" t="inlineStr">
        <is>
          <t>CPO679</t>
        </is>
      </c>
      <c r="C8" s="4" t="inlineStr">
        <is>
          <t>Christie</t>
        </is>
      </c>
      <c r="D8" s="3" t="inlineStr">
        <is>
          <t>Net 45 days</t>
        </is>
      </c>
      <c r="E8" s="4" t="inlineStr">
        <is>
          <t>부품</t>
        </is>
      </c>
      <c r="F8" s="174" t="n">
        <v>45987</v>
      </c>
      <c r="G8" s="175" t="n">
        <v>46007</v>
      </c>
      <c r="H8" s="7" t="n">
        <v>4474</v>
      </c>
      <c r="I8" s="33" t="n">
        <v>1479.7</v>
      </c>
      <c r="J8" s="9" t="n">
        <v>6620178</v>
      </c>
      <c r="K8" s="9" t="n">
        <v>6620178</v>
      </c>
      <c r="L8" s="9" t="n">
        <v>390</v>
      </c>
      <c r="M8" s="9" t="n">
        <v>249</v>
      </c>
      <c r="N8" s="3" t="inlineStr">
        <is>
          <t>Lens</t>
        </is>
      </c>
      <c r="O8" s="175" t="n">
        <v>45989</v>
      </c>
      <c r="P8" s="3" t="inlineStr">
        <is>
          <t>1421425100697M</t>
        </is>
      </c>
      <c r="Q8" s="7">
        <f>IF(P8="","",IFERROR(VLOOKUP(O8,FxRateTable,4,TRUE),""))</f>
        <v/>
      </c>
      <c r="R8" s="7">
        <f>IF(P8="","",H8)</f>
        <v/>
      </c>
      <c r="S8" s="9" t="n">
        <v>560630</v>
      </c>
      <c r="T8" s="9" t="n">
        <v>756850</v>
      </c>
      <c r="U8" s="174" t="n">
        <v>46004</v>
      </c>
      <c r="V8" s="3" t="inlineStr">
        <is>
          <t>아인관세사</t>
        </is>
      </c>
      <c r="W8" s="9" t="n">
        <v>36000</v>
      </c>
      <c r="X8" s="4" t="inlineStr">
        <is>
          <t>진로직스</t>
        </is>
      </c>
      <c r="Y8" s="9" t="n">
        <v>590823</v>
      </c>
      <c r="Z8" s="9">
        <f>S8+W8</f>
        <v/>
      </c>
      <c r="AA8" s="10">
        <f>K8+L8+M8+IFERROR(VLOOKUP(B8,RemitTable2,9,FALSE),0)+Y8+Z8</f>
        <v/>
      </c>
      <c r="AB8" s="11" t="n">
        <v>1</v>
      </c>
      <c r="AC8" s="10">
        <f>ROUND(AA8/AB8,0)</f>
        <v/>
      </c>
      <c r="AD8" s="3" t="inlineStr">
        <is>
          <t>2025-11</t>
        </is>
      </c>
      <c r="AE8" s="175" t="inlineStr">
        <is>
          <t>-</t>
        </is>
      </c>
      <c r="AF8" s="174" t="inlineStr">
        <is>
          <t>-</t>
        </is>
      </c>
    </row>
    <row r="9" ht="15.75" customHeight="1">
      <c r="A9" s="12" t="n">
        <v>5</v>
      </c>
      <c r="B9" s="12" t="inlineStr">
        <is>
          <t>CPO684</t>
        </is>
      </c>
      <c r="C9" s="13" t="inlineStr">
        <is>
          <t>Christie</t>
        </is>
      </c>
      <c r="D9" s="12" t="inlineStr">
        <is>
          <t>Net 45 days</t>
        </is>
      </c>
      <c r="E9" s="13" t="inlineStr">
        <is>
          <t>부품</t>
        </is>
      </c>
      <c r="F9" s="176" t="n">
        <v>45993</v>
      </c>
      <c r="G9" s="177" t="inlineStr">
        <is>
          <t>-</t>
        </is>
      </c>
      <c r="H9" s="16" t="n">
        <v>362.25</v>
      </c>
      <c r="I9" s="178">
        <f>IFERROR(VLOOKUP(B9,RemitTable2,7,FALSE),0)</f>
        <v/>
      </c>
      <c r="J9" s="18" t="n">
        <v>0</v>
      </c>
      <c r="K9" s="18">
        <f>IFERROR(ROUND(H9*I9,0),0)</f>
        <v/>
      </c>
      <c r="L9" s="18">
        <f>IFERROR(VLOOKUP(B9,RemitTable2,10,FALSE),0)</f>
        <v/>
      </c>
      <c r="M9" s="18">
        <f>IFERROR(VLOOKUP(B9,RemitTable2,11,FALSE),0)</f>
        <v/>
      </c>
      <c r="N9" s="12" t="inlineStr">
        <is>
          <t>Parts (국내)</t>
        </is>
      </c>
      <c r="O9" s="177" t="n"/>
      <c r="P9" s="12" t="n"/>
      <c r="Q9" s="18">
        <f>IF(P9="","",IFERROR(VLOOKUP(O9,FxRateTable,4,TRUE),""))</f>
        <v/>
      </c>
      <c r="R9" s="18">
        <f>IF(P9="","",H9)</f>
        <v/>
      </c>
      <c r="S9" s="18" t="n">
        <v>0</v>
      </c>
      <c r="T9" s="18" t="n">
        <v>0</v>
      </c>
      <c r="U9" s="176" t="n"/>
      <c r="V9" s="12" t="inlineStr">
        <is>
          <t>-</t>
        </is>
      </c>
      <c r="W9" s="18" t="n">
        <v>0</v>
      </c>
      <c r="X9" s="13" t="inlineStr">
        <is>
          <t>-</t>
        </is>
      </c>
      <c r="Y9" s="18" t="n">
        <v>0</v>
      </c>
      <c r="Z9" s="18">
        <f>S9+W9</f>
        <v/>
      </c>
      <c r="AA9" s="18">
        <f>K9+L9+M9+IFERROR(VLOOKUP(B9,RemitTable2,9,FALSE),0)+Y9+Z9</f>
        <v/>
      </c>
      <c r="AB9" s="19" t="n">
        <v>1</v>
      </c>
      <c r="AC9" s="18">
        <f>ROUND(AA9/AB9,0)</f>
        <v/>
      </c>
      <c r="AD9" s="12" t="n"/>
      <c r="AE9" s="177" t="inlineStr">
        <is>
          <t>-</t>
        </is>
      </c>
      <c r="AF9" s="176" t="inlineStr">
        <is>
          <t>-</t>
        </is>
      </c>
    </row>
    <row r="10" ht="15.75" customHeight="1">
      <c r="A10" s="3" t="n">
        <v>6</v>
      </c>
      <c r="B10" s="3" t="inlineStr">
        <is>
          <t>CPO680</t>
        </is>
      </c>
      <c r="C10" s="4" t="inlineStr">
        <is>
          <t>Christie</t>
        </is>
      </c>
      <c r="D10" s="3" t="inlineStr">
        <is>
          <t>Net 45 days</t>
        </is>
      </c>
      <c r="E10" s="4" t="inlineStr">
        <is>
          <t>부품</t>
        </is>
      </c>
      <c r="F10" s="174" t="n">
        <v>45995</v>
      </c>
      <c r="G10" s="175" t="n">
        <v>46035</v>
      </c>
      <c r="H10" s="7" t="n">
        <v>252</v>
      </c>
      <c r="I10" s="33" t="n">
        <v>1479</v>
      </c>
      <c r="J10" s="9" t="n">
        <v>372708</v>
      </c>
      <c r="K10" s="9" t="n">
        <v>372708</v>
      </c>
      <c r="L10" s="9" t="n">
        <v>2500</v>
      </c>
      <c r="M10" s="9" t="n">
        <v>8000</v>
      </c>
      <c r="N10" s="3" t="inlineStr">
        <is>
          <t>Parts</t>
        </is>
      </c>
      <c r="O10" s="175" t="n">
        <v>46002</v>
      </c>
      <c r="P10" s="3" t="inlineStr">
        <is>
          <t>1219925801471M</t>
        </is>
      </c>
      <c r="Q10" s="7">
        <f>IF(P10="","",IFERROR(VLOOKUP(O10,FxRateTable,4,TRUE),""))</f>
        <v/>
      </c>
      <c r="R10" s="7">
        <f>IF(P10="","",H10)</f>
        <v/>
      </c>
      <c r="S10" s="9" t="n">
        <v>29879</v>
      </c>
      <c r="T10" s="9" t="n">
        <v>37658</v>
      </c>
      <c r="U10" s="174" t="n">
        <v>46017</v>
      </c>
      <c r="V10" s="3" t="inlineStr">
        <is>
          <t>다민관세사</t>
        </is>
      </c>
      <c r="W10" s="9" t="n">
        <v>271</v>
      </c>
      <c r="X10" s="4" t="inlineStr">
        <is>
          <t>진로직스</t>
        </is>
      </c>
      <c r="Y10" s="9" t="n">
        <v>4477</v>
      </c>
      <c r="Z10" s="9">
        <f>S10+W10</f>
        <v/>
      </c>
      <c r="AA10" s="10">
        <f>K10+L10+M10+IFERROR(VLOOKUP(B10,RemitTable2,9,FALSE),0)+Y10+Z10</f>
        <v/>
      </c>
      <c r="AB10" s="11" t="n">
        <v>1</v>
      </c>
      <c r="AC10" s="10">
        <f>ROUND(AA10/AB10,0)</f>
        <v/>
      </c>
      <c r="AD10" s="3" t="inlineStr">
        <is>
          <t>2025-12</t>
        </is>
      </c>
      <c r="AE10" s="175" t="inlineStr">
        <is>
          <t>-</t>
        </is>
      </c>
      <c r="AF10" s="174" t="inlineStr">
        <is>
          <t>-</t>
        </is>
      </c>
    </row>
    <row r="11" ht="15.75" customHeight="1">
      <c r="A11" s="3" t="n">
        <v>7</v>
      </c>
      <c r="B11" s="3" t="inlineStr">
        <is>
          <t>GPO460</t>
        </is>
      </c>
      <c r="C11" s="4" t="inlineStr">
        <is>
          <t>GDC</t>
        </is>
      </c>
      <c r="D11" s="3" t="inlineStr">
        <is>
          <t>Net 30 days</t>
        </is>
      </c>
      <c r="E11" s="4" t="inlineStr">
        <is>
          <t>장비</t>
        </is>
      </c>
      <c r="F11" s="174" t="n">
        <v>46007</v>
      </c>
      <c r="G11" s="175" t="n">
        <v>46043</v>
      </c>
      <c r="H11" s="7" t="n">
        <v>2710</v>
      </c>
      <c r="I11" s="33" t="n">
        <v>1475.7</v>
      </c>
      <c r="J11" s="9" t="n">
        <v>3999147</v>
      </c>
      <c r="K11" s="9" t="n">
        <v>3999147</v>
      </c>
      <c r="L11" s="9" t="n">
        <v>5493</v>
      </c>
      <c r="M11" s="9" t="n">
        <v>5859</v>
      </c>
      <c r="N11" s="3" t="inlineStr">
        <is>
          <t>SR-1000</t>
        </is>
      </c>
      <c r="O11" s="175" t="n">
        <v>46023</v>
      </c>
      <c r="P11" s="3" t="inlineStr">
        <is>
          <t>2317626006259M</t>
        </is>
      </c>
      <c r="Q11" s="7">
        <f>IF(P11="","",IFERROR(VLOOKUP(O11,FxRateTable,4,TRUE),""))</f>
        <v/>
      </c>
      <c r="R11" s="7">
        <f>IF(P11="","",H11)</f>
        <v/>
      </c>
      <c r="S11" s="9" t="n">
        <v>0</v>
      </c>
      <c r="T11" s="9" t="n">
        <v>399770</v>
      </c>
      <c r="U11" s="174" t="n">
        <v>46038</v>
      </c>
      <c r="V11" s="3" t="inlineStr">
        <is>
          <t>-</t>
        </is>
      </c>
      <c r="W11" s="9" t="n">
        <v>0</v>
      </c>
      <c r="X11" s="4" t="inlineStr">
        <is>
          <t>Fedex</t>
        </is>
      </c>
      <c r="Y11" s="9" t="n">
        <v>0</v>
      </c>
      <c r="Z11" s="9">
        <f>S11+W11</f>
        <v/>
      </c>
      <c r="AA11" s="10">
        <f>K11+L11+M11+IFERROR(VLOOKUP(B11,RemitTable2,9,FALSE),0)+Y11+Z11</f>
        <v/>
      </c>
      <c r="AB11" s="11" t="n">
        <v>1</v>
      </c>
      <c r="AC11" s="10">
        <f>ROUND(AA11/AB11,0)</f>
        <v/>
      </c>
      <c r="AD11" s="3" t="inlineStr">
        <is>
          <t>2026-01</t>
        </is>
      </c>
      <c r="AE11" s="175" t="inlineStr">
        <is>
          <t>-</t>
        </is>
      </c>
      <c r="AF11" s="174" t="inlineStr">
        <is>
          <t>-</t>
        </is>
      </c>
    </row>
    <row r="12" ht="15.75" customHeight="1">
      <c r="A12" s="3" t="n">
        <v>8</v>
      </c>
      <c r="B12" s="3" t="inlineStr">
        <is>
          <t>LPO001</t>
        </is>
      </c>
      <c r="C12" s="4" t="inlineStr">
        <is>
          <t>Lemon</t>
        </is>
      </c>
      <c r="D12" s="3" t="inlineStr">
        <is>
          <t>TT Advance</t>
        </is>
      </c>
      <c r="E12" s="4" t="inlineStr">
        <is>
          <t>장비</t>
        </is>
      </c>
      <c r="F12" s="174" t="n">
        <v>46007</v>
      </c>
      <c r="G12" s="175" t="n">
        <v>46052</v>
      </c>
      <c r="H12" s="7" t="n">
        <v>5056.8</v>
      </c>
      <c r="I12" s="33" t="n">
        <v>1445.5</v>
      </c>
      <c r="J12" s="9" t="n">
        <v>7309604</v>
      </c>
      <c r="K12" s="9" t="n">
        <v>7309604</v>
      </c>
      <c r="L12" s="9" t="n">
        <v>10000</v>
      </c>
      <c r="M12" s="9" t="n">
        <v>8000</v>
      </c>
      <c r="N12" s="3" t="inlineStr">
        <is>
          <t>ICP+TPC (6EA)</t>
        </is>
      </c>
      <c r="O12" s="175" t="n">
        <v>46090</v>
      </c>
      <c r="P12" s="3" t="inlineStr">
        <is>
          <t>1421426100183M</t>
        </is>
      </c>
      <c r="Q12" s="7">
        <f>IF(P12="","",IFERROR(VLOOKUP(O12,FxRateTable,4,TRUE),""))</f>
        <v/>
      </c>
      <c r="R12" s="7">
        <f>IF(P12="","",H12)</f>
        <v/>
      </c>
      <c r="S12" s="9" t="n">
        <v>240450</v>
      </c>
      <c r="T12" s="9" t="n">
        <v>831820</v>
      </c>
      <c r="U12" s="174" t="n">
        <v>46105</v>
      </c>
      <c r="V12" s="3" t="inlineStr">
        <is>
          <t>아인관세사</t>
        </is>
      </c>
      <c r="W12" s="9" t="n">
        <v>36000</v>
      </c>
      <c r="X12" s="4" t="inlineStr">
        <is>
          <t>진로직스</t>
        </is>
      </c>
      <c r="Y12" s="9" t="n">
        <v>581438</v>
      </c>
      <c r="Z12" s="9">
        <f>S12+W12</f>
        <v/>
      </c>
      <c r="AA12" s="10">
        <f>K12+L12+M12+IFERROR(VLOOKUP(B12,RemitTable2,9,FALSE),0)+Y12+Z12</f>
        <v/>
      </c>
      <c r="AB12" s="11" t="n">
        <v>6</v>
      </c>
      <c r="AC12" s="10">
        <f>ROUND(AA12/AB12,0)</f>
        <v/>
      </c>
      <c r="AD12" s="3" t="inlineStr">
        <is>
          <t>2026-03</t>
        </is>
      </c>
      <c r="AE12" s="175" t="inlineStr">
        <is>
          <t>-</t>
        </is>
      </c>
      <c r="AF12" s="174" t="inlineStr">
        <is>
          <t>-</t>
        </is>
      </c>
    </row>
    <row r="13" ht="15.75" customHeight="1">
      <c r="A13" s="3" t="n">
        <v>9</v>
      </c>
      <c r="B13" s="3" t="inlineStr">
        <is>
          <t>CPO678-2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74" t="n">
        <v>46009</v>
      </c>
      <c r="G13" s="175" t="n">
        <v>46087</v>
      </c>
      <c r="H13" s="7" t="n">
        <v>137850</v>
      </c>
      <c r="I13" s="33" t="n">
        <v>1477.6</v>
      </c>
      <c r="J13" s="9" t="n">
        <v>203687160</v>
      </c>
      <c r="K13" s="9" t="n">
        <v>203687160</v>
      </c>
      <c r="L13" s="9" t="n">
        <v>12500</v>
      </c>
      <c r="M13" s="9" t="n">
        <v>8000</v>
      </c>
      <c r="N13" s="3" t="inlineStr">
        <is>
          <t>CP4425-RGB Projector (3EA)</t>
        </is>
      </c>
      <c r="O13" s="175" t="n">
        <v>46030</v>
      </c>
      <c r="P13" s="3" t="inlineStr">
        <is>
          <t>1400826101004M</t>
        </is>
      </c>
      <c r="Q13" s="7">
        <f>IF(P13="","",IFERROR(VLOOKUP(O13,FxRateTable,4,TRUE),""))</f>
        <v/>
      </c>
      <c r="R13" s="7">
        <f>IF(P13="","",H13)</f>
        <v/>
      </c>
      <c r="S13" s="9" t="n">
        <v>0</v>
      </c>
      <c r="T13" s="9" t="n">
        <v>19976300</v>
      </c>
      <c r="U13" s="174" t="n">
        <v>46042</v>
      </c>
      <c r="V13" s="3" t="inlineStr">
        <is>
          <t>조운관세사</t>
        </is>
      </c>
      <c r="W13" s="9" t="n">
        <v>263400</v>
      </c>
      <c r="X13" s="4" t="inlineStr">
        <is>
          <t>진로직스</t>
        </is>
      </c>
      <c r="Y13" s="9" t="n">
        <v>2385057</v>
      </c>
      <c r="Z13" s="9">
        <f>S13+W13</f>
        <v/>
      </c>
      <c r="AA13" s="10">
        <f>K13+L13+M13+IFERROR(VLOOKUP(B13,RemitTable2,9,FALSE),0)+Y13+Z13</f>
        <v/>
      </c>
      <c r="AB13" s="11" t="n">
        <v>3</v>
      </c>
      <c r="AC13" s="10">
        <f>ROUND(AA13/AB13,0)</f>
        <v/>
      </c>
      <c r="AD13" s="3" t="inlineStr">
        <is>
          <t>2026-01</t>
        </is>
      </c>
      <c r="AE13" s="175" t="inlineStr">
        <is>
          <t>-</t>
        </is>
      </c>
      <c r="AF13" s="174" t="inlineStr">
        <is>
          <t>-</t>
        </is>
      </c>
    </row>
    <row r="14" ht="15.75" customHeight="1">
      <c r="A14" s="3" t="n">
        <v>10</v>
      </c>
      <c r="B14" s="3" t="inlineStr">
        <is>
          <t>CPO682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74" t="n">
        <v>46010</v>
      </c>
      <c r="G14" s="175" t="n">
        <v>46057</v>
      </c>
      <c r="H14" s="7" t="n">
        <v>20174</v>
      </c>
      <c r="I14" s="33" t="n">
        <v>1454.7</v>
      </c>
      <c r="J14" s="9" t="n">
        <v>29347118</v>
      </c>
      <c r="K14" s="9" t="n">
        <v>29347118</v>
      </c>
      <c r="L14" s="9" t="n">
        <v>10171</v>
      </c>
      <c r="M14" s="9" t="n">
        <v>6509</v>
      </c>
      <c r="N14" s="3" t="inlineStr">
        <is>
          <t>Projector + Touch Screen (2EA)</t>
        </is>
      </c>
      <c r="O14" s="175" t="n">
        <v>46015</v>
      </c>
      <c r="P14" s="3" t="inlineStr">
        <is>
          <t>1400825101450M</t>
        </is>
      </c>
      <c r="Q14" s="7">
        <f>IF(P14="","",IFERROR(VLOOKUP(O14,FxRateTable,4,TRUE),""))</f>
        <v/>
      </c>
      <c r="R14" s="7">
        <f>IF(P14="","",H14)</f>
        <v/>
      </c>
      <c r="S14" s="9" t="n">
        <v>84170</v>
      </c>
      <c r="T14" s="9" t="n">
        <v>3156262</v>
      </c>
      <c r="U14" s="174" t="n">
        <v>46030</v>
      </c>
      <c r="V14" s="3" t="inlineStr">
        <is>
          <t>아인관세사</t>
        </is>
      </c>
      <c r="W14" s="9" t="n">
        <v>92978</v>
      </c>
      <c r="X14" s="4" t="inlineStr">
        <is>
          <t>진로직스</t>
        </is>
      </c>
      <c r="Y14" s="9" t="n">
        <v>1864148</v>
      </c>
      <c r="Z14" s="9">
        <f>S14+W14</f>
        <v/>
      </c>
      <c r="AA14" s="10">
        <f>K14+L14+M14+IFERROR(VLOOKUP(B14,RemitTable2,9,FALSE),0)+Y14+Z14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175" t="inlineStr">
        <is>
          <t>-</t>
        </is>
      </c>
      <c r="AF14" s="174" t="inlineStr">
        <is>
          <t>-</t>
        </is>
      </c>
    </row>
    <row r="15" ht="15.75" customHeight="1">
      <c r="A15" s="3" t="n">
        <v>11</v>
      </c>
      <c r="B15" s="3" t="inlineStr">
        <is>
          <t>CPO683</t>
        </is>
      </c>
      <c r="C15" s="4" t="inlineStr">
        <is>
          <t>Christie</t>
        </is>
      </c>
      <c r="D15" s="3" t="inlineStr">
        <is>
          <t>Net 45 days</t>
        </is>
      </c>
      <c r="E15" s="4" t="inlineStr">
        <is>
          <t>장비</t>
        </is>
      </c>
      <c r="F15" s="174" t="n">
        <v>46010</v>
      </c>
      <c r="G15" s="175" t="n">
        <v>46057</v>
      </c>
      <c r="H15" s="7" t="n">
        <v>4620</v>
      </c>
      <c r="I15" s="33" t="n">
        <v>1454.7</v>
      </c>
      <c r="J15" s="9" t="n">
        <v>6720714</v>
      </c>
      <c r="K15" s="9" t="n">
        <v>6720714</v>
      </c>
      <c r="L15" s="9" t="n">
        <v>2329</v>
      </c>
      <c r="M15" s="9" t="n">
        <v>1491</v>
      </c>
      <c r="N15" s="3" t="inlineStr">
        <is>
          <t>Fan (15EA)</t>
        </is>
      </c>
      <c r="O15" s="175" t="n">
        <v>46015</v>
      </c>
      <c r="P15" s="3" t="inlineStr">
        <is>
          <t>1400825101450M</t>
        </is>
      </c>
      <c r="Q15" s="7">
        <f>IF(P15="","",IFERROR(VLOOKUP(O15,FxRateTable,4,TRUE),""))</f>
        <v/>
      </c>
      <c r="R15" s="7">
        <f>IF(P15="","",H15)</f>
        <v/>
      </c>
      <c r="S15" s="9" t="n">
        <v>0</v>
      </c>
      <c r="T15" s="9" t="n">
        <v>722808</v>
      </c>
      <c r="U15" s="174" t="n">
        <v>46030</v>
      </c>
      <c r="V15" s="3" t="inlineStr">
        <is>
          <t>아인관세사</t>
        </is>
      </c>
      <c r="W15" s="9" t="n">
        <v>14422</v>
      </c>
      <c r="X15" s="4" t="inlineStr">
        <is>
          <t>진로직스</t>
        </is>
      </c>
      <c r="Y15" s="9" t="n">
        <v>426904</v>
      </c>
      <c r="Z15" s="9">
        <f>S15+W15</f>
        <v/>
      </c>
      <c r="AA15" s="10">
        <f>K15+L15+M15+IFERROR(VLOOKUP(B15,RemitTable2,9,FALSE),0)+Y15+Z15</f>
        <v/>
      </c>
      <c r="AB15" s="11" t="n">
        <v>1</v>
      </c>
      <c r="AC15" s="10">
        <f>ROUND(AA15/AB15,0)</f>
        <v/>
      </c>
      <c r="AD15" s="3" t="inlineStr">
        <is>
          <t>2025-12</t>
        </is>
      </c>
      <c r="AE15" s="175" t="inlineStr">
        <is>
          <t>-</t>
        </is>
      </c>
      <c r="AF15" s="174" t="inlineStr">
        <is>
          <t>-</t>
        </is>
      </c>
    </row>
    <row r="16" ht="15.75" customHeight="1">
      <c r="A16" s="3" t="n">
        <v>12</v>
      </c>
      <c r="B16" s="3" t="inlineStr">
        <is>
          <t>MPO66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74" t="n">
        <v>46011</v>
      </c>
      <c r="G16" s="175" t="n">
        <v>46043</v>
      </c>
      <c r="H16" s="7" t="n">
        <v>9626.35</v>
      </c>
      <c r="I16" s="33" t="n">
        <v>1476</v>
      </c>
      <c r="J16" s="9" t="n">
        <v>14208493</v>
      </c>
      <c r="K16" s="9" t="n">
        <v>14208493</v>
      </c>
      <c r="L16" s="9" t="n">
        <v>10000</v>
      </c>
      <c r="M16" s="9" t="n">
        <v>8000</v>
      </c>
      <c r="N16" s="3" t="inlineStr">
        <is>
          <t>DCO-16000/L-SUB (13EA)</t>
        </is>
      </c>
      <c r="O16" s="175" t="n">
        <v>46072</v>
      </c>
      <c r="P16" s="3" t="inlineStr">
        <is>
          <t>1421426100153M</t>
        </is>
      </c>
      <c r="Q16" s="7">
        <f>IF(P16="","",IFERROR(VLOOKUP(O16,FxRateTable,4,TRUE),""))</f>
        <v/>
      </c>
      <c r="R16" s="7">
        <f>IF(P16="","",H16)</f>
        <v/>
      </c>
      <c r="S16" s="9" t="n">
        <v>0</v>
      </c>
      <c r="T16" s="9" t="n">
        <v>1704871</v>
      </c>
      <c r="U16" s="174" t="n">
        <v>46087</v>
      </c>
      <c r="V16" s="3" t="inlineStr">
        <is>
          <t>아인관세사</t>
        </is>
      </c>
      <c r="W16" s="9" t="n">
        <v>93591</v>
      </c>
      <c r="X16" s="4" t="inlineStr">
        <is>
          <t>진로직스</t>
        </is>
      </c>
      <c r="Y16" s="9" t="n">
        <v>2690702</v>
      </c>
      <c r="Z16" s="9">
        <f>S16+W16</f>
        <v/>
      </c>
      <c r="AA16" s="10">
        <f>K16+L16+M16+IFERROR(VLOOKUP(B16,RemitTable2,9,FALSE),0)+Y16+Z16</f>
        <v/>
      </c>
      <c r="AB16" s="11" t="n">
        <v>13</v>
      </c>
      <c r="AC16" s="10">
        <f>ROUND(AA16/AB16,0)</f>
        <v/>
      </c>
      <c r="AD16" s="3" t="inlineStr">
        <is>
          <t>2026-02</t>
        </is>
      </c>
      <c r="AE16" s="175" t="inlineStr">
        <is>
          <t>-</t>
        </is>
      </c>
      <c r="AF16" s="174" t="inlineStr">
        <is>
          <t>-</t>
        </is>
      </c>
    </row>
    <row r="17" ht="15.75" customHeight="1">
      <c r="A17" s="3" t="n">
        <v>13</v>
      </c>
      <c r="B17" s="3" t="inlineStr">
        <is>
          <t>MPO65</t>
        </is>
      </c>
      <c r="C17" s="4" t="inlineStr">
        <is>
          <t>MAG</t>
        </is>
      </c>
      <c r="D17" s="3" t="inlineStr">
        <is>
          <t>T/T</t>
        </is>
      </c>
      <c r="E17" s="4" t="inlineStr">
        <is>
          <t>장비</t>
        </is>
      </c>
      <c r="F17" s="174" t="n">
        <v>46011</v>
      </c>
      <c r="G17" s="175" t="n">
        <v>46007</v>
      </c>
      <c r="H17" s="7" t="n">
        <v>4936</v>
      </c>
      <c r="I17" s="33" t="n">
        <v>1480</v>
      </c>
      <c r="J17" s="9" t="n">
        <v>7305280</v>
      </c>
      <c r="K17" s="9" t="n">
        <v>7305280</v>
      </c>
      <c r="L17" s="9" t="n">
        <v>3282</v>
      </c>
      <c r="M17" s="9" t="n">
        <v>2626</v>
      </c>
      <c r="N17" s="3" t="inlineStr">
        <is>
          <t>Audio Amp</t>
        </is>
      </c>
      <c r="O17" s="175" t="n">
        <v>46072</v>
      </c>
      <c r="P17" s="3" t="inlineStr">
        <is>
          <t>1421426100153M</t>
        </is>
      </c>
      <c r="Q17" s="7">
        <f>IF(P17="","",IFERROR(VLOOKUP(O17,FxRateTable,4,TRUE),""))</f>
        <v/>
      </c>
      <c r="R17" s="7">
        <f>IF(P17="","",H17)</f>
        <v/>
      </c>
      <c r="S17" s="9" t="n">
        <v>0</v>
      </c>
      <c r="T17" s="9" t="n">
        <v>874189</v>
      </c>
      <c r="U17" s="174" t="n">
        <v>46087</v>
      </c>
      <c r="V17" s="3" t="inlineStr">
        <is>
          <t>아인관세사</t>
        </is>
      </c>
      <c r="W17" s="9" t="n">
        <v>47990</v>
      </c>
      <c r="X17" s="4" t="inlineStr">
        <is>
          <t>진로직스</t>
        </is>
      </c>
      <c r="Y17" s="9" t="n">
        <v>1379682</v>
      </c>
      <c r="Z17" s="9">
        <f>S17+W17</f>
        <v/>
      </c>
      <c r="AA17" s="10">
        <f>K17+L17+M17+IFERROR(VLOOKUP(B17,RemitTable2,9,FALSE),0)+Y17+Z17</f>
        <v/>
      </c>
      <c r="AB17" s="11" t="n">
        <v>1</v>
      </c>
      <c r="AC17" s="10">
        <f>ROUND(AA17/AB17,0)</f>
        <v/>
      </c>
      <c r="AD17" s="3" t="inlineStr">
        <is>
          <t>2026-02</t>
        </is>
      </c>
      <c r="AE17" s="175" t="inlineStr">
        <is>
          <t>-</t>
        </is>
      </c>
      <c r="AF17" s="174" t="inlineStr">
        <is>
          <t>-</t>
        </is>
      </c>
    </row>
    <row r="18" ht="15.75" customHeight="1">
      <c r="A18" s="3" t="n">
        <v>14</v>
      </c>
      <c r="B18" s="3" t="inlineStr">
        <is>
          <t>CPO689</t>
        </is>
      </c>
      <c r="C18" s="4" t="inlineStr">
        <is>
          <t>Christie</t>
        </is>
      </c>
      <c r="D18" s="3" t="inlineStr">
        <is>
          <t>Net 45 days</t>
        </is>
      </c>
      <c r="E18" s="4" t="inlineStr">
        <is>
          <t>부품</t>
        </is>
      </c>
      <c r="F18" s="174" t="n">
        <v>46025</v>
      </c>
      <c r="G18" s="175" t="n">
        <v>46072</v>
      </c>
      <c r="H18" s="7" t="n">
        <v>2745</v>
      </c>
      <c r="I18" s="33" t="n">
        <v>1451.7</v>
      </c>
      <c r="J18" s="9" t="n">
        <v>3984917</v>
      </c>
      <c r="K18" s="9" t="n">
        <v>3984917</v>
      </c>
      <c r="L18" s="9" t="n">
        <v>1565</v>
      </c>
      <c r="M18" s="9" t="n">
        <v>1252</v>
      </c>
      <c r="N18" s="3" t="inlineStr">
        <is>
          <t>Parts</t>
        </is>
      </c>
      <c r="O18" s="175" t="n">
        <v>46042</v>
      </c>
      <c r="P18" s="3" t="inlineStr">
        <is>
          <t>2317626055855M</t>
        </is>
      </c>
      <c r="Q18" s="7">
        <f>IF(P18="","",IFERROR(VLOOKUP(O18,FxRateTable,4,TRUE),""))</f>
        <v/>
      </c>
      <c r="R18" s="7">
        <f>IF(P18="","",H18)</f>
        <v/>
      </c>
      <c r="S18" s="9" t="n">
        <v>20430</v>
      </c>
      <c r="T18" s="9" t="n">
        <v>409790</v>
      </c>
      <c r="U18" s="174" t="n">
        <v>46057</v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162080</v>
      </c>
      <c r="Z18" s="9">
        <f>S18+W18</f>
        <v/>
      </c>
      <c r="AA18" s="10">
        <f>K18+L18+M18+IFERROR(VLOOKUP(B18,RemitTable2,9,FALSE),0)+Y18+Z18</f>
        <v/>
      </c>
      <c r="AB18" s="11" t="n">
        <v>1</v>
      </c>
      <c r="AC18" s="10">
        <f>ROUND(AA18/AB18,0)</f>
        <v/>
      </c>
      <c r="AD18" s="3" t="inlineStr">
        <is>
          <t>2026-01</t>
        </is>
      </c>
      <c r="AE18" s="175" t="inlineStr">
        <is>
          <t>-</t>
        </is>
      </c>
      <c r="AF18" s="174" t="inlineStr">
        <is>
          <t>-</t>
        </is>
      </c>
    </row>
    <row r="19" ht="15.75" customHeight="1">
      <c r="A19" s="3" t="n">
        <v>15</v>
      </c>
      <c r="B19" s="3" t="inlineStr">
        <is>
          <t>GPO467</t>
        </is>
      </c>
      <c r="C19" s="4" t="inlineStr">
        <is>
          <t>GDC</t>
        </is>
      </c>
      <c r="D19" s="3" t="inlineStr">
        <is>
          <t>Net 30 days</t>
        </is>
      </c>
      <c r="E19" s="4" t="inlineStr">
        <is>
          <t>장비</t>
        </is>
      </c>
      <c r="F19" s="174" t="n">
        <v>46029</v>
      </c>
      <c r="G19" s="175" t="n">
        <v>46113</v>
      </c>
      <c r="H19" s="7" t="n">
        <v>1700</v>
      </c>
      <c r="I19" s="33" t="n">
        <v>1506.4</v>
      </c>
      <c r="J19" s="9" t="n">
        <v>2560880</v>
      </c>
      <c r="K19" s="9" t="n">
        <v>2560880</v>
      </c>
      <c r="L19" s="9" t="n">
        <v>2594</v>
      </c>
      <c r="M19" s="9" t="n">
        <v>2075</v>
      </c>
      <c r="N19" s="3" t="inlineStr">
        <is>
          <t>SR-1000 Face Plate(20)+Security Gate(10)</t>
        </is>
      </c>
      <c r="O19" s="175" t="n">
        <v>46056</v>
      </c>
      <c r="P19" s="3" t="inlineStr">
        <is>
          <t>2317626105219M</t>
        </is>
      </c>
      <c r="Q19" s="7">
        <f>IF(P19="","",IFERROR(VLOOKUP(O19,FxRateTable,4,TRUE),""))</f>
        <v/>
      </c>
      <c r="R19" s="7">
        <f>IF(P19="","",H19)</f>
        <v/>
      </c>
      <c r="S19" s="9" t="n">
        <v>0</v>
      </c>
      <c r="T19" s="9" t="n">
        <v>250080</v>
      </c>
      <c r="U19" s="174" t="n">
        <v>46071</v>
      </c>
      <c r="V19" s="3" t="inlineStr">
        <is>
          <t>-</t>
        </is>
      </c>
      <c r="W19" s="9" t="n">
        <v>0</v>
      </c>
      <c r="X19" s="4" t="inlineStr">
        <is>
          <t>Fedex</t>
        </is>
      </c>
      <c r="Y19" s="9" t="n">
        <v>136050</v>
      </c>
      <c r="Z19" s="9">
        <f>S19+W19</f>
        <v/>
      </c>
      <c r="AA19" s="10">
        <f>K19+L19+M19+IFERROR(VLOOKUP(B19,RemitTable2,9,FALSE),0)+Y19+Z19</f>
        <v/>
      </c>
      <c r="AB19" s="11" t="n">
        <v>30</v>
      </c>
      <c r="AC19" s="10">
        <f>ROUND(AA19/AB19,0)</f>
        <v/>
      </c>
      <c r="AD19" s="3" t="inlineStr">
        <is>
          <t>2026-02</t>
        </is>
      </c>
      <c r="AE19" s="175" t="inlineStr">
        <is>
          <t>-</t>
        </is>
      </c>
      <c r="AF19" s="174" t="inlineStr">
        <is>
          <t>-</t>
        </is>
      </c>
    </row>
    <row r="20" ht="15.75" customHeight="1">
      <c r="A20" s="3" t="n">
        <v>16</v>
      </c>
      <c r="B20" s="3" t="inlineStr">
        <is>
          <t>CPO692-1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부품(렌즈)</t>
        </is>
      </c>
      <c r="F20" s="174" t="n">
        <v>46035</v>
      </c>
      <c r="G20" s="175" t="n">
        <v>46134</v>
      </c>
      <c r="H20" s="7" t="n">
        <v>11000</v>
      </c>
      <c r="I20" s="33" t="n">
        <v>1482.8</v>
      </c>
      <c r="J20" s="9" t="n">
        <v>16310800</v>
      </c>
      <c r="K20" s="9" t="n">
        <v>16310800</v>
      </c>
      <c r="L20" s="9" t="n">
        <v>462</v>
      </c>
      <c r="M20" s="9" t="n">
        <v>296</v>
      </c>
      <c r="N20" s="3" t="inlineStr">
        <is>
          <t>Lens (2EA)</t>
        </is>
      </c>
      <c r="O20" s="175" t="n">
        <v>46064</v>
      </c>
      <c r="P20" s="3" t="inlineStr">
        <is>
          <t>2235626138790M</t>
        </is>
      </c>
      <c r="Q20" s="7">
        <f>IF(P20="","",IFERROR(VLOOKUP(O20,FxRateTable,4,TRUE),""))</f>
        <v/>
      </c>
      <c r="R20" s="7">
        <f>IF(P20="","",H20)</f>
        <v/>
      </c>
      <c r="S20" s="9" t="n">
        <v>1297810</v>
      </c>
      <c r="T20" s="9" t="n">
        <v>1752040</v>
      </c>
      <c r="U20" s="174" t="n">
        <v>46079</v>
      </c>
      <c r="V20" s="3" t="inlineStr">
        <is>
          <t>-</t>
        </is>
      </c>
      <c r="W20" s="9" t="n">
        <v>0</v>
      </c>
      <c r="X20" s="4" t="inlineStr">
        <is>
          <t>DHL</t>
        </is>
      </c>
      <c r="Y20" s="9" t="n">
        <v>1553086</v>
      </c>
      <c r="Z20" s="9">
        <f>S20+W20</f>
        <v/>
      </c>
      <c r="AA20" s="10">
        <f>K20+L20+M20+IFERROR(VLOOKUP(B20,RemitTable2,9,FALSE),0)+Y20+Z20</f>
        <v/>
      </c>
      <c r="AB20" s="11" t="n">
        <v>2</v>
      </c>
      <c r="AC20" s="10">
        <f>ROUND(AA20/AB20,0)</f>
        <v/>
      </c>
      <c r="AD20" s="3" t="inlineStr">
        <is>
          <t>2026-02</t>
        </is>
      </c>
      <c r="AE20" s="175" t="inlineStr">
        <is>
          <t>-</t>
        </is>
      </c>
      <c r="AF20" s="174" t="inlineStr">
        <is>
          <t>-</t>
        </is>
      </c>
    </row>
    <row r="21" ht="15.75" customHeight="1">
      <c r="A21" s="3" t="n">
        <v>17</v>
      </c>
      <c r="B21" s="3" t="inlineStr">
        <is>
          <t>CPO692-2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장비</t>
        </is>
      </c>
      <c r="F21" s="174" t="n">
        <v>46035</v>
      </c>
      <c r="G21" s="175" t="n">
        <v>46134</v>
      </c>
      <c r="H21" s="7" t="n">
        <v>286580</v>
      </c>
      <c r="I21" s="33" t="n">
        <v>1482.8</v>
      </c>
      <c r="J21" s="9" t="n">
        <v>424940824</v>
      </c>
      <c r="K21" s="9" t="n">
        <v>424940824</v>
      </c>
      <c r="L21" s="9" t="n">
        <v>12038</v>
      </c>
      <c r="M21" s="9" t="n">
        <v>7704</v>
      </c>
      <c r="N21" s="3" t="inlineStr">
        <is>
          <t>Projector+Lens+ASSY (28EA)</t>
        </is>
      </c>
      <c r="O21" s="175" t="n">
        <v>46073</v>
      </c>
      <c r="P21" s="3" t="inlineStr">
        <is>
          <t>1400826101051M</t>
        </is>
      </c>
      <c r="Q21" s="7">
        <f>IF(P21="","",IFERROR(VLOOKUP(O21,FxRateTable,4,TRUE),""))</f>
        <v/>
      </c>
      <c r="R21" s="7">
        <f>IF(P21="","",H21)</f>
        <v/>
      </c>
      <c r="S21" s="9" t="n">
        <v>3450410</v>
      </c>
      <c r="T21" s="9" t="n">
        <v>42329590</v>
      </c>
      <c r="U21" s="174" t="n">
        <v>46088</v>
      </c>
      <c r="V21" s="3" t="inlineStr">
        <is>
          <t>조운관세사</t>
        </is>
      </c>
      <c r="W21" s="9" t="n">
        <v>250000</v>
      </c>
      <c r="X21" s="4" t="inlineStr">
        <is>
          <t>진로직스</t>
        </is>
      </c>
      <c r="Y21" s="9" t="n">
        <v>2649525</v>
      </c>
      <c r="Z21" s="9">
        <f>S21+W21</f>
        <v/>
      </c>
      <c r="AA21" s="10">
        <f>K21+L21+M21+IFERROR(VLOOKUP(B21,RemitTable2,9,FALSE),0)+Y21+Z21</f>
        <v/>
      </c>
      <c r="AB21" s="11" t="n">
        <v>28</v>
      </c>
      <c r="AC21" s="10">
        <f>ROUND(AA21/AB21,0)</f>
        <v/>
      </c>
      <c r="AD21" s="3" t="inlineStr">
        <is>
          <t>2026-02</t>
        </is>
      </c>
      <c r="AE21" s="175" t="inlineStr">
        <is>
          <t>-</t>
        </is>
      </c>
      <c r="AF21" s="174" t="inlineStr">
        <is>
          <t>-</t>
        </is>
      </c>
    </row>
    <row r="22" ht="15.75" customHeight="1">
      <c r="A22" s="3" t="n">
        <v>18</v>
      </c>
      <c r="B22" s="3" t="inlineStr">
        <is>
          <t>CPO690</t>
        </is>
      </c>
      <c r="C22" s="4" t="inlineStr">
        <is>
          <t>Christie</t>
        </is>
      </c>
      <c r="D22" s="3" t="inlineStr">
        <is>
          <t>Net 45 days</t>
        </is>
      </c>
      <c r="E22" s="4" t="inlineStr">
        <is>
          <t>부품</t>
        </is>
      </c>
      <c r="F22" s="174" t="n">
        <v>46050</v>
      </c>
      <c r="G22" s="175" t="n">
        <v>46113</v>
      </c>
      <c r="H22" s="7" t="n">
        <v>9740</v>
      </c>
      <c r="I22" s="33" t="n">
        <v>1505.7</v>
      </c>
      <c r="J22" s="9" t="n">
        <v>14665518</v>
      </c>
      <c r="K22" s="9" t="n">
        <v>14665518</v>
      </c>
      <c r="L22" s="9" t="n">
        <v>3544</v>
      </c>
      <c r="M22" s="9" t="n">
        <v>2268</v>
      </c>
      <c r="N22" s="3" t="inlineStr">
        <is>
          <t>ASSY Liquid Cooling (20EA)</t>
        </is>
      </c>
      <c r="O22" s="175" t="n">
        <v>46053</v>
      </c>
      <c r="P22" s="3" t="inlineStr">
        <is>
          <t>2235626096487M</t>
        </is>
      </c>
      <c r="Q22" s="7">
        <f>IF(P22="","",IFERROR(VLOOKUP(O22,FxRateTable,4,TRUE),""))</f>
        <v/>
      </c>
      <c r="R22" s="7">
        <f>IF(P22="","",H22)</f>
        <v/>
      </c>
      <c r="S22" s="9" t="n">
        <v>0</v>
      </c>
      <c r="T22" s="9" t="n">
        <v>1493440</v>
      </c>
      <c r="U22" s="174" t="n">
        <v>46067</v>
      </c>
      <c r="V22" s="3" t="inlineStr">
        <is>
          <t>-</t>
        </is>
      </c>
      <c r="W22" s="9" t="n">
        <v>0</v>
      </c>
      <c r="X22" s="4" t="inlineStr">
        <is>
          <t>DHL</t>
        </is>
      </c>
      <c r="Y22" s="9" t="n">
        <v>1561040</v>
      </c>
      <c r="Z22" s="9">
        <f>S22+W22</f>
        <v/>
      </c>
      <c r="AA22" s="10">
        <f>K22+L22+M22+IFERROR(VLOOKUP(B22,RemitTable2,9,FALSE),0)+Y22+Z22</f>
        <v/>
      </c>
      <c r="AB22" s="11" t="n">
        <v>20</v>
      </c>
      <c r="AC22" s="10">
        <f>ROUND(AA22/AB22,0)</f>
        <v/>
      </c>
      <c r="AD22" s="3" t="inlineStr">
        <is>
          <t>2026-01</t>
        </is>
      </c>
      <c r="AE22" s="175" t="inlineStr">
        <is>
          <t>-</t>
        </is>
      </c>
      <c r="AF22" s="174" t="inlineStr">
        <is>
          <t>-</t>
        </is>
      </c>
    </row>
    <row r="23" ht="15.75" customHeight="1">
      <c r="A23" s="12" t="n">
        <v>19</v>
      </c>
      <c r="B23" s="12" t="inlineStr">
        <is>
          <t>CPO693</t>
        </is>
      </c>
      <c r="C23" s="13" t="inlineStr">
        <is>
          <t>Christie</t>
        </is>
      </c>
      <c r="D23" s="12" t="inlineStr">
        <is>
          <t>Net 45 days</t>
        </is>
      </c>
      <c r="E23" s="13" t="inlineStr">
        <is>
          <t>장비</t>
        </is>
      </c>
      <c r="F23" s="176" t="n">
        <v>46071</v>
      </c>
      <c r="G23" s="177" t="inlineStr">
        <is>
          <t>-</t>
        </is>
      </c>
      <c r="H23" s="16" t="n">
        <v>35674</v>
      </c>
      <c r="I23" s="178">
        <f>IFERROR(VLOOKUP(B23,RemitTable2,7,FALSE),0)</f>
        <v/>
      </c>
      <c r="J23" s="18" t="n">
        <v>0</v>
      </c>
      <c r="K23" s="18">
        <f>IFERROR(ROUND(H23*I23,0),0)</f>
        <v/>
      </c>
      <c r="L23" s="18">
        <f>IFERROR(VLOOKUP(B23,RemitTable2,10,FALSE),0)</f>
        <v/>
      </c>
      <c r="M23" s="18">
        <f>IFERROR(VLOOKUP(B23,RemitTable2,11,FALSE),0)</f>
        <v/>
      </c>
      <c r="N23" s="12" t="inlineStr">
        <is>
          <t>Projector (한국)</t>
        </is>
      </c>
      <c r="O23" s="177" t="n"/>
      <c r="P23" s="12" t="n"/>
      <c r="Q23" s="18">
        <f>IF(P23="","",IFERROR(VLOOKUP(O23,FxRateTable,4,TRUE),""))</f>
        <v/>
      </c>
      <c r="R23" s="18">
        <f>IF(P23="","",H23)</f>
        <v/>
      </c>
      <c r="S23" s="18" t="n">
        <v>0</v>
      </c>
      <c r="T23" s="18" t="n">
        <v>0</v>
      </c>
      <c r="U23" s="176" t="n"/>
      <c r="V23" s="12" t="inlineStr">
        <is>
          <t>-</t>
        </is>
      </c>
      <c r="W23" s="18" t="n">
        <v>0</v>
      </c>
      <c r="X23" s="13" t="inlineStr">
        <is>
          <t>-</t>
        </is>
      </c>
      <c r="Y23" s="18" t="n">
        <v>0</v>
      </c>
      <c r="Z23" s="18">
        <f>S23+W23</f>
        <v/>
      </c>
      <c r="AA23" s="18">
        <f>K23+L23+M23+IFERROR(VLOOKUP(B23,RemitTable2,9,FALSE),0)+Y23+Z23</f>
        <v/>
      </c>
      <c r="AB23" s="19" t="n">
        <v>1</v>
      </c>
      <c r="AC23" s="18">
        <f>ROUND(AA23/AB23,0)</f>
        <v/>
      </c>
      <c r="AD23" s="12" t="n"/>
      <c r="AE23" s="177" t="inlineStr">
        <is>
          <t>-</t>
        </is>
      </c>
      <c r="AF23" s="176" t="inlineStr">
        <is>
          <t>-</t>
        </is>
      </c>
    </row>
    <row r="24" ht="15.75" customHeight="1">
      <c r="A24" s="3" t="n">
        <v>20</v>
      </c>
      <c r="B24" s="3" t="inlineStr">
        <is>
          <t>GPO468-1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장비</t>
        </is>
      </c>
      <c r="F24" s="174" t="n">
        <v>46080</v>
      </c>
      <c r="G24" s="175" t="n">
        <v>46126</v>
      </c>
      <c r="H24" s="7" t="n">
        <v>36190</v>
      </c>
      <c r="I24" s="33" t="n">
        <v>1481.9</v>
      </c>
      <c r="J24" s="9" t="n">
        <v>53629961</v>
      </c>
      <c r="K24" s="9" t="n">
        <v>53629961</v>
      </c>
      <c r="L24" s="9" t="n">
        <v>7847</v>
      </c>
      <c r="M24" s="9" t="n">
        <v>5022</v>
      </c>
      <c r="N24" s="3" t="inlineStr">
        <is>
          <t>SR-1000 IMB (10EA)</t>
        </is>
      </c>
      <c r="O24" s="175" t="n">
        <v>46095</v>
      </c>
      <c r="P24" s="3" t="inlineStr">
        <is>
          <t>1400826101085M</t>
        </is>
      </c>
      <c r="Q24" s="7">
        <f>IF(P24="","",IFERROR(VLOOKUP(O24,FxRateTable,4,TRUE),""))</f>
        <v/>
      </c>
      <c r="R24" s="7">
        <f>IF(P24="","",H24)</f>
        <v/>
      </c>
      <c r="S24" s="9" t="n">
        <v>0</v>
      </c>
      <c r="T24" s="9" t="n">
        <v>5395574</v>
      </c>
      <c r="U24" s="174" t="n">
        <v>46110</v>
      </c>
      <c r="V24" s="3" t="inlineStr">
        <is>
          <t>조운관세사</t>
        </is>
      </c>
      <c r="W24" s="9" t="n">
        <v>137864</v>
      </c>
      <c r="X24" s="4" t="inlineStr">
        <is>
          <t>진로직스</t>
        </is>
      </c>
      <c r="Y24" s="9" t="n">
        <v>1232133</v>
      </c>
      <c r="Z24" s="9">
        <f>S24+W24</f>
        <v/>
      </c>
      <c r="AA24" s="10">
        <f>K24+L24+M24+IFERROR(VLOOKUP(B24,RemitTable2,9,FALSE),0)+Y24+Z24</f>
        <v/>
      </c>
      <c r="AB24" s="11" t="n">
        <v>10</v>
      </c>
      <c r="AC24" s="10">
        <f>ROUND(AA24/AB24,0)</f>
        <v/>
      </c>
      <c r="AD24" s="3" t="inlineStr">
        <is>
          <t>2026-03</t>
        </is>
      </c>
      <c r="AE24" s="175" t="inlineStr">
        <is>
          <t>-</t>
        </is>
      </c>
      <c r="AF24" s="174" t="inlineStr">
        <is>
          <t>-</t>
        </is>
      </c>
    </row>
    <row r="25" ht="15.75" customHeight="1">
      <c r="A25" s="3" t="n">
        <v>21</v>
      </c>
      <c r="B25" s="3" t="inlineStr">
        <is>
          <t>GPO472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부품</t>
        </is>
      </c>
      <c r="F25" s="174" t="n">
        <v>46088</v>
      </c>
      <c r="G25" s="175" t="n">
        <v>46126</v>
      </c>
      <c r="H25" s="7" t="n">
        <v>180</v>
      </c>
      <c r="I25" s="33" t="n">
        <v>1481.9</v>
      </c>
      <c r="J25" s="9" t="n">
        <v>266742</v>
      </c>
      <c r="K25" s="9" t="n">
        <v>266742</v>
      </c>
      <c r="L25" s="9" t="n">
        <v>39</v>
      </c>
      <c r="M25" s="9" t="n">
        <v>25</v>
      </c>
      <c r="N25" s="3" t="inlineStr">
        <is>
          <t>SR-1000 Coverplate (3EA)</t>
        </is>
      </c>
      <c r="O25" s="175" t="n">
        <v>46095</v>
      </c>
      <c r="P25" s="3" t="inlineStr">
        <is>
          <t>1400826101085M</t>
        </is>
      </c>
      <c r="Q25" s="7">
        <f>IF(P25="","",IFERROR(VLOOKUP(O25,FxRateTable,4,TRUE),""))</f>
        <v/>
      </c>
      <c r="R25" s="7">
        <f>IF(P25="","",H25)</f>
        <v/>
      </c>
      <c r="S25" s="9" t="n">
        <v>0</v>
      </c>
      <c r="T25" s="9" t="n">
        <v>26836</v>
      </c>
      <c r="U25" s="174" t="n">
        <v>46110</v>
      </c>
      <c r="V25" s="3" t="inlineStr">
        <is>
          <t>조운관세사</t>
        </is>
      </c>
      <c r="W25" s="9" t="n">
        <v>536</v>
      </c>
      <c r="X25" s="4" t="inlineStr">
        <is>
          <t>진로직스</t>
        </is>
      </c>
      <c r="Y25" s="9" t="n">
        <v>6128</v>
      </c>
      <c r="Z25" s="9">
        <f>S25+W25</f>
        <v/>
      </c>
      <c r="AA25" s="10">
        <f>K25+L25+M25+IFERROR(VLOOKUP(B25,RemitTable2,9,FALSE),0)+Y25+Z25</f>
        <v/>
      </c>
      <c r="AB25" s="11" t="n">
        <v>3</v>
      </c>
      <c r="AC25" s="10">
        <f>ROUND(AA25/AB25,0)</f>
        <v/>
      </c>
      <c r="AD25" s="3" t="inlineStr">
        <is>
          <t>2026-03</t>
        </is>
      </c>
      <c r="AE25" s="175" t="inlineStr">
        <is>
          <t>-</t>
        </is>
      </c>
      <c r="AF25" s="174" t="inlineStr">
        <is>
          <t>-</t>
        </is>
      </c>
    </row>
    <row r="26" ht="15.75" customHeight="1">
      <c r="A26" s="3" t="n">
        <v>22</v>
      </c>
      <c r="B26" s="3" t="inlineStr">
        <is>
          <t>GPO468-2</t>
        </is>
      </c>
      <c r="C26" s="4" t="inlineStr">
        <is>
          <t>GDC</t>
        </is>
      </c>
      <c r="D26" s="3" t="inlineStr">
        <is>
          <t>Net 30 days</t>
        </is>
      </c>
      <c r="E26" s="4" t="inlineStr">
        <is>
          <t>장비</t>
        </is>
      </c>
      <c r="F26" s="174" t="n">
        <v>46088</v>
      </c>
      <c r="G26" s="175" t="n">
        <v>46126</v>
      </c>
      <c r="H26" s="7" t="n">
        <v>21280</v>
      </c>
      <c r="I26" s="33" t="n">
        <v>1481.9</v>
      </c>
      <c r="J26" s="9" t="n">
        <v>31534832</v>
      </c>
      <c r="K26" s="9" t="n">
        <v>31534832</v>
      </c>
      <c r="L26" s="9" t="n">
        <v>4614</v>
      </c>
      <c r="M26" s="9" t="n">
        <v>2953</v>
      </c>
      <c r="N26" s="3" t="inlineStr">
        <is>
          <t>IMB</t>
        </is>
      </c>
      <c r="O26" s="175" t="n">
        <v>46104</v>
      </c>
      <c r="P26" s="3" t="inlineStr">
        <is>
          <t>2317626258975M</t>
        </is>
      </c>
      <c r="Q26" s="7">
        <f>IF(P26="","",IFERROR(VLOOKUP(O26,FxRateTable,4,TRUE),""))</f>
        <v/>
      </c>
      <c r="R26" s="7">
        <f>IF(P26="","",H26)</f>
        <v/>
      </c>
      <c r="S26" s="9" t="n">
        <v>0</v>
      </c>
      <c r="T26" s="9" t="n">
        <v>4747530</v>
      </c>
      <c r="U26" s="174" t="n">
        <v>46119</v>
      </c>
      <c r="V26" s="3" t="inlineStr">
        <is>
          <t>-</t>
        </is>
      </c>
      <c r="W26" s="9" t="n">
        <v>0</v>
      </c>
      <c r="X26" s="4" t="inlineStr">
        <is>
          <t>Fedex</t>
        </is>
      </c>
      <c r="Y26" s="9" t="n">
        <v>904960</v>
      </c>
      <c r="Z26" s="9">
        <f>S26+W26</f>
        <v/>
      </c>
      <c r="AA26" s="10">
        <f>K26+L26+M26+IFERROR(VLOOKUP(B26,RemitTable2,9,FALSE),0)+Y26+Z26</f>
        <v/>
      </c>
      <c r="AB26" s="11" t="n">
        <v>4</v>
      </c>
      <c r="AC26" s="10">
        <f>ROUND(AA26/AB26,0)</f>
        <v/>
      </c>
      <c r="AD26" s="3" t="inlineStr">
        <is>
          <t>2026-03</t>
        </is>
      </c>
      <c r="AE26" s="175" t="inlineStr">
        <is>
          <t>-</t>
        </is>
      </c>
      <c r="AF26" s="174" t="inlineStr">
        <is>
          <t>-</t>
        </is>
      </c>
    </row>
    <row r="27" ht="15.75" customHeight="1">
      <c r="A27" s="3" t="n">
        <v>23</v>
      </c>
      <c r="B27" s="3" t="inlineStr">
        <is>
          <t>CPO695-1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부품(Fan)</t>
        </is>
      </c>
      <c r="F27" s="174" t="n">
        <v>46098</v>
      </c>
      <c r="G27" s="175" t="n">
        <v>46146</v>
      </c>
      <c r="H27" s="7" t="n">
        <v>2058</v>
      </c>
      <c r="I27" s="33" t="n">
        <v>1474.9</v>
      </c>
      <c r="J27" s="9" t="n">
        <v>3035344</v>
      </c>
      <c r="K27" s="9" t="n">
        <v>3035344</v>
      </c>
      <c r="L27" s="9" t="n">
        <v>1200</v>
      </c>
      <c r="M27" s="9" t="n">
        <v>768</v>
      </c>
      <c r="N27" s="3" t="inlineStr">
        <is>
          <t>Fan (7EA)</t>
        </is>
      </c>
      <c r="O27" s="175" t="n">
        <v>46105</v>
      </c>
      <c r="P27" s="3" t="inlineStr">
        <is>
          <t>2235626283517M</t>
        </is>
      </c>
      <c r="Q27" s="7">
        <f>IF(P27="","",IFERROR(VLOOKUP(O27,FxRateTable,4,TRUE),""))</f>
        <v/>
      </c>
      <c r="R27" s="7">
        <f>IF(P27="","",H27)</f>
        <v/>
      </c>
      <c r="S27" s="9" t="n">
        <v>0</v>
      </c>
      <c r="T27" s="9" t="n">
        <v>350480</v>
      </c>
      <c r="U27" s="174" t="n">
        <v>46120</v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6264783</v>
      </c>
      <c r="Z27" s="9">
        <f>S27+W27</f>
        <v/>
      </c>
      <c r="AA27" s="10">
        <f>K27+L27+M27+IFERROR(VLOOKUP(B27,RemitTable2,9,FALSE),0)+Y27+Z27</f>
        <v/>
      </c>
      <c r="AB27" s="11" t="n">
        <v>7</v>
      </c>
      <c r="AC27" s="10">
        <f>ROUND(AA27/AB27,0)</f>
        <v/>
      </c>
      <c r="AD27" s="3" t="inlineStr">
        <is>
          <t>2026-03</t>
        </is>
      </c>
      <c r="AE27" s="175" t="inlineStr">
        <is>
          <t>-</t>
        </is>
      </c>
      <c r="AF27" s="174" t="inlineStr">
        <is>
          <t>-</t>
        </is>
      </c>
    </row>
    <row r="28" ht="15.75" customHeight="1">
      <c r="A28" s="3" t="n">
        <v>24</v>
      </c>
      <c r="B28" s="3" t="inlineStr">
        <is>
          <t>CPO695-2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부품(Filter)</t>
        </is>
      </c>
      <c r="F28" s="174" t="n">
        <v>46098</v>
      </c>
      <c r="G28" s="175" t="n">
        <v>46146</v>
      </c>
      <c r="H28" s="7" t="n">
        <v>1977</v>
      </c>
      <c r="I28" s="33" t="n">
        <v>1474.9</v>
      </c>
      <c r="J28" s="9" t="n">
        <v>2915877</v>
      </c>
      <c r="K28" s="9" t="n">
        <v>2915877</v>
      </c>
      <c r="L28" s="9" t="n">
        <v>1153</v>
      </c>
      <c r="M28" s="9" t="n">
        <v>738</v>
      </c>
      <c r="N28" s="3" t="inlineStr">
        <is>
          <t>Filter(11EA)+Fan(5EA)</t>
        </is>
      </c>
      <c r="O28" s="175" t="n">
        <v>46104</v>
      </c>
      <c r="P28" s="3" t="inlineStr">
        <is>
          <t>2235626277307M</t>
        </is>
      </c>
      <c r="Q28" s="7">
        <f>IF(P28="","",IFERROR(VLOOKUP(O28,FxRateTable,4,TRUE),""))</f>
        <v/>
      </c>
      <c r="R28" s="7">
        <f>IF(P28="","",H28)</f>
        <v/>
      </c>
      <c r="S28" s="9" t="n">
        <v>50790</v>
      </c>
      <c r="T28" s="9" t="n">
        <v>317310</v>
      </c>
      <c r="U28" s="174" t="n">
        <v>46119</v>
      </c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1454605</v>
      </c>
      <c r="Z28" s="9">
        <f>S28+W28</f>
        <v/>
      </c>
      <c r="AA28" s="10">
        <f>K28+L28+M28+IFERROR(VLOOKUP(B28,RemitTable2,9,FALSE),0)+Y28+Z28</f>
        <v/>
      </c>
      <c r="AB28" s="11" t="n">
        <v>16</v>
      </c>
      <c r="AC28" s="10">
        <f>ROUND(AA28/AB28,0)</f>
        <v/>
      </c>
      <c r="AD28" s="3" t="inlineStr">
        <is>
          <t>2026-03</t>
        </is>
      </c>
      <c r="AE28" s="175" t="inlineStr">
        <is>
          <t>-</t>
        </is>
      </c>
      <c r="AF28" s="174" t="inlineStr">
        <is>
          <t>-</t>
        </is>
      </c>
    </row>
    <row r="29" ht="15.75" customHeight="1">
      <c r="A29" s="3" t="n">
        <v>25</v>
      </c>
      <c r="B29" s="3" t="inlineStr">
        <is>
          <t>CPO698</t>
        </is>
      </c>
      <c r="C29" s="4" t="inlineStr">
        <is>
          <t>Christie</t>
        </is>
      </c>
      <c r="D29" s="3" t="inlineStr">
        <is>
          <t>Net 45 days</t>
        </is>
      </c>
      <c r="E29" s="4" t="inlineStr">
        <is>
          <t>부품(렌즈)</t>
        </is>
      </c>
      <c r="F29" s="174" t="n">
        <v>46106</v>
      </c>
      <c r="G29" s="175" t="n">
        <v>46162</v>
      </c>
      <c r="H29" s="7" t="n">
        <v>4290</v>
      </c>
      <c r="I29" s="33" t="n">
        <v>1510.6</v>
      </c>
      <c r="J29" s="9" t="n">
        <v>6480474</v>
      </c>
      <c r="K29" s="9" t="n">
        <v>6480474</v>
      </c>
      <c r="L29" s="9" t="n">
        <v>7500</v>
      </c>
      <c r="M29" s="9" t="n">
        <v>8000</v>
      </c>
      <c r="N29" s="3" t="inlineStr">
        <is>
          <t>Lens 1.62-2.7 (2EA)</t>
        </is>
      </c>
      <c r="O29" s="175" t="n">
        <v>46122</v>
      </c>
      <c r="P29" s="3" t="inlineStr">
        <is>
          <t>2235626346781M</t>
        </is>
      </c>
      <c r="Q29" s="7">
        <f>IF(P29="","",IFERROR(VLOOKUP(O29,FxRateTable,4,TRUE),""))</f>
        <v/>
      </c>
      <c r="R29" s="7">
        <f>IF(P29="","",H29)</f>
        <v/>
      </c>
      <c r="S29" s="9" t="n">
        <v>524320</v>
      </c>
      <c r="T29" s="9" t="n">
        <v>707830</v>
      </c>
      <c r="U29" s="174" t="n"/>
      <c r="V29" s="3" t="inlineStr">
        <is>
          <t>운서합동</t>
        </is>
      </c>
      <c r="W29" s="9" t="n">
        <v>0</v>
      </c>
      <c r="X29" s="4" t="inlineStr">
        <is>
          <t>DHL</t>
        </is>
      </c>
      <c r="Y29" s="9" t="n">
        <v>174806</v>
      </c>
      <c r="Z29" s="9">
        <f>S29+W29</f>
        <v/>
      </c>
      <c r="AA29" s="10">
        <f>K29+L29+M29+IFERROR(VLOOKUP(B29,RemitTable2,9,FALSE),0)+Y29+Z29</f>
        <v/>
      </c>
      <c r="AB29" s="11" t="n">
        <v>2</v>
      </c>
      <c r="AC29" s="10">
        <f>ROUND(AA29/AB29,0)</f>
        <v/>
      </c>
      <c r="AD29" s="3" t="inlineStr">
        <is>
          <t>2026-04</t>
        </is>
      </c>
      <c r="AE29" s="175" t="n"/>
      <c r="AF29" s="174" t="n"/>
    </row>
    <row r="30" ht="15.75" customHeight="1">
      <c r="A30" s="78" t="n">
        <v>26</v>
      </c>
      <c r="B30" s="78" t="inlineStr">
        <is>
          <t>CPO696-1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79" t="n">
        <v>46113</v>
      </c>
      <c r="G30" s="179" t="n">
        <v>46171</v>
      </c>
      <c r="H30" s="80" t="n">
        <v>78209</v>
      </c>
      <c r="I30" s="180" t="n">
        <v>1502.7</v>
      </c>
      <c r="J30" s="82" t="n">
        <v>117524664</v>
      </c>
      <c r="K30" s="82" t="n">
        <v>117524664</v>
      </c>
      <c r="L30" s="82" t="n">
        <v>9619</v>
      </c>
      <c r="M30" s="82" t="n">
        <v>6156</v>
      </c>
      <c r="N30" s="78" t="inlineStr">
        <is>
          <t>CP4445-RGB Projector 외 (렌탈용)</t>
        </is>
      </c>
      <c r="O30" s="179" t="n">
        <v>46129</v>
      </c>
      <c r="P30" s="78" t="inlineStr">
        <is>
          <t>14008-26-101125M</t>
        </is>
      </c>
      <c r="Q30" s="80">
        <f>IF(P30="","",IFERROR(VLOOKUP(O30,FxRateTable,4,TRUE),""))</f>
        <v/>
      </c>
      <c r="R30" s="80">
        <f>IF(P30="","",H30)</f>
        <v/>
      </c>
      <c r="S30" s="82" t="n">
        <v>67570</v>
      </c>
      <c r="T30" s="82" t="n">
        <v>12073120</v>
      </c>
      <c r="U30" s="179" t="n"/>
      <c r="V30" s="78" t="inlineStr">
        <is>
          <t>조운관세사무소</t>
        </is>
      </c>
      <c r="W30" s="82" t="n">
        <v>286000</v>
      </c>
      <c r="X30" s="78" t="inlineStr">
        <is>
          <t>진로직스</t>
        </is>
      </c>
      <c r="Y30" s="82" t="n">
        <v>3909069</v>
      </c>
      <c r="Z30" s="82">
        <f>S30+W30</f>
        <v/>
      </c>
      <c r="AA30" s="83">
        <f>K30+L30+M30+IFERROR(VLOOKUP(B30,RemitTable2,9,FALSE),0)+Y30+Z30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179" t="n"/>
      <c r="AF30" s="179" t="n"/>
    </row>
    <row r="31" ht="15.75" customHeight="1">
      <c r="A31" s="78" t="n">
        <v>27</v>
      </c>
      <c r="B31" s="78" t="inlineStr">
        <is>
          <t>CPO696-2</t>
        </is>
      </c>
      <c r="C31" s="78" t="inlineStr">
        <is>
          <t>Christie</t>
        </is>
      </c>
      <c r="D31" s="78" t="inlineStr">
        <is>
          <t>Net 45 days</t>
        </is>
      </c>
      <c r="E31" s="78" t="inlineStr">
        <is>
          <t>장비</t>
        </is>
      </c>
      <c r="F31" s="179" t="n">
        <v>46113</v>
      </c>
      <c r="G31" s="179" t="n">
        <v>46171</v>
      </c>
      <c r="H31" s="80" t="n">
        <v>8140</v>
      </c>
      <c r="I31" s="180" t="n">
        <v>1502.7</v>
      </c>
      <c r="J31" s="82" t="n">
        <v>12231978</v>
      </c>
      <c r="K31" s="82" t="n">
        <v>12231978</v>
      </c>
      <c r="L31" s="82" t="n">
        <v>1001</v>
      </c>
      <c r="M31" s="82" t="n">
        <v>641</v>
      </c>
      <c r="N31" s="78" t="inlineStr">
        <is>
          <t>SMC Chiller HRS-040 외</t>
        </is>
      </c>
      <c r="O31" s="179" t="n">
        <v>46132</v>
      </c>
      <c r="P31" s="78" t="inlineStr">
        <is>
          <t>14008-26-101129M</t>
        </is>
      </c>
      <c r="Q31" s="80">
        <f>IF(P31="","",IFERROR(VLOOKUP(O31,FxRateTable,4,TRUE),""))</f>
        <v/>
      </c>
      <c r="R31" s="80">
        <f>IF(P31="","",H31)</f>
        <v/>
      </c>
      <c r="S31" s="82" t="n">
        <v>1019820</v>
      </c>
      <c r="T31" s="82" t="n">
        <v>1376760</v>
      </c>
      <c r="U31" s="179" t="n"/>
      <c r="V31" s="78" t="inlineStr">
        <is>
          <t>조운관세사무소</t>
        </is>
      </c>
      <c r="W31" s="82" t="n">
        <v>33000</v>
      </c>
      <c r="X31" s="78" t="inlineStr">
        <is>
          <t>진로직스</t>
        </is>
      </c>
      <c r="Y31" s="82" t="n">
        <v>846621</v>
      </c>
      <c r="Z31" s="82">
        <f>S31+W31</f>
        <v/>
      </c>
      <c r="AA31" s="83">
        <f>K31+L31+M31+IFERROR(VLOOKUP(B31,RemitTable2,9,FALSE),0)+Y31+Z31</f>
        <v/>
      </c>
      <c r="AB31" s="84" t="n">
        <v>1</v>
      </c>
      <c r="AC31" s="83">
        <f>ROUND(AA31/AB31,0)</f>
        <v/>
      </c>
      <c r="AD31" s="78" t="inlineStr">
        <is>
          <t>2026-04</t>
        </is>
      </c>
      <c r="AE31" s="179" t="n"/>
      <c r="AF31" s="179" t="n"/>
    </row>
    <row r="32" ht="15.75" customHeight="1">
      <c r="A32" s="78" t="n">
        <v>28</v>
      </c>
      <c r="B32" s="78" t="inlineStr">
        <is>
          <t>EPO18</t>
        </is>
      </c>
      <c r="C32" s="78" t="inlineStr">
        <is>
          <t>MAICO Italia</t>
        </is>
      </c>
      <c r="D32" s="78" t="inlineStr">
        <is>
          <t>100% TT in advance</t>
        </is>
      </c>
      <c r="E32" s="78" t="inlineStr">
        <is>
          <t>부품</t>
        </is>
      </c>
      <c r="F32" s="179" t="n">
        <v>46132</v>
      </c>
      <c r="G32" s="179" t="n">
        <v>46134</v>
      </c>
      <c r="H32" s="80" t="n">
        <v>4388.4</v>
      </c>
      <c r="I32" s="180" t="n">
        <v>1741.08</v>
      </c>
      <c r="J32" s="82" t="n">
        <v>7640555</v>
      </c>
      <c r="K32" s="82" t="n">
        <v>7640555</v>
      </c>
      <c r="L32" s="82" t="n">
        <v>10000</v>
      </c>
      <c r="M32" s="82" t="n">
        <v>8000</v>
      </c>
      <c r="N32" s="78" t="inlineStr">
        <is>
          <t>AXC 200 ELICENT VENTILATORE/FAN (60EA, EUR)</t>
        </is>
      </c>
      <c r="O32" s="179" t="n">
        <v>46230</v>
      </c>
      <c r="P32" s="78" t="inlineStr">
        <is>
          <t>14008-26-101205M</t>
        </is>
      </c>
      <c r="Q32" s="80" t="n">
        <v>1686.2</v>
      </c>
      <c r="R32" s="80">
        <f>IF(P32="","",H32)</f>
        <v/>
      </c>
      <c r="S32" s="82" t="n">
        <v>0</v>
      </c>
      <c r="T32" s="82" t="n">
        <v>814230</v>
      </c>
      <c r="U32" s="179" t="n"/>
      <c r="V32" s="78" t="inlineStr">
        <is>
          <t>조운관세사무소</t>
        </is>
      </c>
      <c r="W32" s="82" t="n">
        <v>0</v>
      </c>
      <c r="X32" s="78" t="inlineStr">
        <is>
          <t>진로직스</t>
        </is>
      </c>
      <c r="Y32" s="82" t="n">
        <v>0</v>
      </c>
      <c r="Z32" s="82">
        <f>S32+W32</f>
        <v/>
      </c>
      <c r="AA32" s="83">
        <f>K32+L32+M32+IFERROR(VLOOKUP(B32,RemitTable2,9,FALSE),0)+Y32+Z32</f>
        <v/>
      </c>
      <c r="AB32" s="84" t="n">
        <v>60</v>
      </c>
      <c r="AC32" s="83">
        <f>ROUND(AA32/AB32,0)</f>
        <v/>
      </c>
      <c r="AD32" s="78" t="inlineStr">
        <is>
          <t>2026-07</t>
        </is>
      </c>
      <c r="AE32" s="179" t="n"/>
      <c r="AF32" s="179" t="n"/>
    </row>
    <row r="33" ht="15.75" customHeight="1">
      <c r="A33" s="124" t="n">
        <v>29</v>
      </c>
      <c r="B33" s="124" t="inlineStr">
        <is>
          <t>CPO696-3</t>
        </is>
      </c>
      <c r="C33" s="124" t="inlineStr">
        <is>
          <t>Christie</t>
        </is>
      </c>
      <c r="D33" s="124" t="inlineStr">
        <is>
          <t>Net 45 days</t>
        </is>
      </c>
      <c r="E33" s="124" t="inlineStr">
        <is>
          <t>장비</t>
        </is>
      </c>
      <c r="F33" s="181" t="n">
        <v>46127</v>
      </c>
      <c r="G33" s="181" t="n">
        <v>46190</v>
      </c>
      <c r="H33" s="126" t="n">
        <v>351274</v>
      </c>
      <c r="I33" s="310" t="n">
        <v>1518</v>
      </c>
      <c r="J33" s="128" t="n">
        <v>533233932</v>
      </c>
      <c r="K33" s="128" t="n">
        <v>533233932</v>
      </c>
      <c r="L33" s="128" t="n">
        <v>12500</v>
      </c>
      <c r="M33" s="128" t="n">
        <v>8000</v>
      </c>
      <c r="N33" s="129" t="n"/>
      <c r="O33" s="181" t="n">
        <v>46141</v>
      </c>
      <c r="P33" s="124" t="inlineStr">
        <is>
          <t>14008-26-101140M</t>
        </is>
      </c>
      <c r="Q33" s="126">
        <f>IF(P33="","",IFERROR(VLOOKUP(O33,FxRateTable,4,TRUE),""))</f>
        <v/>
      </c>
      <c r="R33" s="126">
        <f>IF(P33="","",H33)</f>
        <v/>
      </c>
      <c r="S33" s="128" t="n">
        <v>522900</v>
      </c>
      <c r="T33" s="128" t="n">
        <v>52140300</v>
      </c>
      <c r="U33" s="181" t="n"/>
      <c r="V33" s="124" t="inlineStr">
        <is>
          <t>조운관세사무소</t>
        </is>
      </c>
      <c r="W33" s="128" t="n">
        <v>250000</v>
      </c>
      <c r="X33" s="124" t="inlineStr">
        <is>
          <t>조운관세사무소</t>
        </is>
      </c>
      <c r="Y33" s="128" t="n">
        <v>3103207</v>
      </c>
      <c r="Z33" s="128">
        <f>S33+W33</f>
        <v/>
      </c>
      <c r="AA33" s="131">
        <f>K33+L33+M33+IFERROR(VLOOKUP(B33,RemitTable2,9,FALSE),0)+Y33+Z33</f>
        <v/>
      </c>
      <c r="AB33" s="167" t="n">
        <v>8</v>
      </c>
      <c r="AC33" s="131">
        <f>ROUND(AA33/AB33,0)</f>
        <v/>
      </c>
      <c r="AD33" s="124" t="inlineStr">
        <is>
          <t>2026-04</t>
        </is>
      </c>
      <c r="AE33" s="182" t="n"/>
      <c r="AF33" s="182" t="n"/>
    </row>
    <row r="34" ht="15.75" customHeight="1">
      <c r="A34" s="124" t="n">
        <v>30</v>
      </c>
      <c r="B34" s="124" t="inlineStr">
        <is>
          <t>CPO696-4</t>
        </is>
      </c>
      <c r="C34" s="124" t="inlineStr">
        <is>
          <t>Christie</t>
        </is>
      </c>
      <c r="D34" s="124" t="inlineStr">
        <is>
          <t>Net 45 days</t>
        </is>
      </c>
      <c r="E34" s="124" t="inlineStr">
        <is>
          <t>장비</t>
        </is>
      </c>
      <c r="F34" s="181" t="n">
        <v>46143</v>
      </c>
      <c r="G34" s="181" t="inlineStr">
        <is>
          <t>-</t>
        </is>
      </c>
      <c r="H34" s="126" t="n">
        <v>807233</v>
      </c>
      <c r="I34" s="310">
        <f>IFERROR(VLOOKUP(B34,RemitTable2,7,FALSE),0)</f>
        <v/>
      </c>
      <c r="J34" s="128" t="n">
        <v>0</v>
      </c>
      <c r="K34" s="128">
        <f>IFERROR(ROUND(H34*I34,0),0)</f>
        <v/>
      </c>
      <c r="L34" s="128">
        <f>IFERROR(VLOOKUP(B34,RemitTable2,10,FALSE),0)</f>
        <v/>
      </c>
      <c r="M34" s="128">
        <f>IFERROR(VLOOKUP(B34,RemitTable2,11,FALSE),0)</f>
        <v/>
      </c>
      <c r="N34" s="129" t="n"/>
      <c r="O34" s="181" t="n">
        <v>46157</v>
      </c>
      <c r="P34" s="124" t="inlineStr">
        <is>
          <t>14008-26-101168M</t>
        </is>
      </c>
      <c r="Q34" s="126">
        <f>IF(P34="","",IFERROR(VLOOKUP(O34,FxRateTable,4,TRUE),""))</f>
        <v/>
      </c>
      <c r="R34" s="126">
        <f>IF(P34="","",H34)</f>
        <v/>
      </c>
      <c r="S34" s="128" t="n">
        <v>1229900</v>
      </c>
      <c r="T34" s="128" t="n">
        <v>118665800</v>
      </c>
      <c r="U34" s="181" t="n"/>
      <c r="V34" s="124" t="inlineStr">
        <is>
          <t>조운관세사무소</t>
        </is>
      </c>
      <c r="W34" s="128" t="n">
        <v>250000</v>
      </c>
      <c r="X34" s="124" t="inlineStr">
        <is>
          <t>조운관세사무소</t>
        </is>
      </c>
      <c r="Y34" s="128" t="n">
        <v>3270326</v>
      </c>
      <c r="Z34" s="128">
        <f>S34+W34</f>
        <v/>
      </c>
      <c r="AA34" s="131">
        <f>K34+L34+M34+IFERROR(VLOOKUP(B34,RemitTable2,9,FALSE),0)+Y34+Z34</f>
        <v/>
      </c>
      <c r="AB34" s="167" t="n">
        <v>19</v>
      </c>
      <c r="AC34" s="131">
        <f>ROUND(AA34/AB34,0)</f>
        <v/>
      </c>
      <c r="AD34" s="124" t="inlineStr">
        <is>
          <t>2026-05</t>
        </is>
      </c>
      <c r="AE34" s="182" t="n"/>
      <c r="AF34" s="182" t="n"/>
    </row>
    <row r="35" ht="15.75" customHeight="1">
      <c r="A35" s="124" t="n">
        <v>31</v>
      </c>
      <c r="B35" s="124" t="inlineStr">
        <is>
          <t>GPO473-1</t>
        </is>
      </c>
      <c r="C35" s="124" t="inlineStr">
        <is>
          <t>GDC</t>
        </is>
      </c>
      <c r="D35" s="124" t="inlineStr">
        <is>
          <t>Net 30 days</t>
        </is>
      </c>
      <c r="E35" s="124" t="inlineStr">
        <is>
          <t>장비</t>
        </is>
      </c>
      <c r="F35" s="181" t="n">
        <v>46113</v>
      </c>
      <c r="G35" s="181" t="n">
        <v>46171</v>
      </c>
      <c r="H35" s="126" t="n">
        <v>98800</v>
      </c>
      <c r="I35" s="310" t="n">
        <v>1502.8</v>
      </c>
      <c r="J35" s="128" t="n">
        <v>148476640</v>
      </c>
      <c r="K35" s="128" t="n">
        <v>148476640</v>
      </c>
      <c r="L35" s="128" t="n">
        <v>12457</v>
      </c>
      <c r="M35" s="128" t="n">
        <v>7973</v>
      </c>
      <c r="N35" s="129" t="n"/>
      <c r="O35" s="181" t="n">
        <v>46146</v>
      </c>
      <c r="P35" s="124" t="inlineStr">
        <is>
          <t>14008-26-101148M</t>
        </is>
      </c>
      <c r="Q35" s="126">
        <f>IF(P35="","",IFERROR(VLOOKUP(O35,FxRateTable,4,TRUE),""))</f>
        <v/>
      </c>
      <c r="R35" s="126">
        <f>IF(P35="","",H35)</f>
        <v/>
      </c>
      <c r="S35" s="128" t="n">
        <v>0</v>
      </c>
      <c r="T35" s="128" t="n">
        <v>14902330</v>
      </c>
      <c r="U35" s="181" t="n"/>
      <c r="V35" s="124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3636072</v>
      </c>
      <c r="Z35" s="128">
        <f>S35+W35</f>
        <v/>
      </c>
      <c r="AA35" s="131">
        <f>K35+L35+M35+IFERROR(VLOOKUP(B35,RemitTable2,9,FALSE),0)+Y35+Z35</f>
        <v/>
      </c>
      <c r="AB35" s="167" t="n">
        <v>20</v>
      </c>
      <c r="AC35" s="131">
        <f>ROUND(AA35/AB35,0)</f>
        <v/>
      </c>
      <c r="AD35" s="124" t="inlineStr">
        <is>
          <t>2026-05</t>
        </is>
      </c>
      <c r="AE35" s="182" t="n"/>
      <c r="AF35" s="182" t="n"/>
    </row>
    <row r="36" ht="15.75" customHeight="1">
      <c r="A36" s="124" t="n">
        <v>32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81" t="n">
        <v>46171</v>
      </c>
      <c r="H36" s="126" t="n">
        <v>90</v>
      </c>
      <c r="I36" s="310" t="n">
        <v>1502.8</v>
      </c>
      <c r="J36" s="128" t="n">
        <v>135252</v>
      </c>
      <c r="K36" s="128" t="n">
        <v>135252</v>
      </c>
      <c r="L36" s="128" t="n">
        <v>11</v>
      </c>
      <c r="M36" s="128" t="n">
        <v>7</v>
      </c>
      <c r="N36" s="129" t="n"/>
      <c r="O36" s="182" t="n"/>
      <c r="P36" s="129" t="n"/>
      <c r="Q36" s="126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81" t="n"/>
      <c r="V36" s="129" t="n"/>
      <c r="W36" s="128" t="n">
        <v>0</v>
      </c>
      <c r="X36" s="124" t="inlineStr">
        <is>
          <t>FedEx</t>
        </is>
      </c>
      <c r="Y36" s="128" t="n">
        <v>48920</v>
      </c>
      <c r="Z36" s="128">
        <f>S36+W36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82" t="n"/>
      <c r="AF36" s="182" t="n"/>
    </row>
    <row r="37" ht="15.75" customHeight="1">
      <c r="A37" s="207" t="n">
        <v>33</v>
      </c>
      <c r="B37" s="207" t="inlineStr">
        <is>
          <t>GPO473-2</t>
        </is>
      </c>
      <c r="C37" s="208" t="inlineStr">
        <is>
          <t>GDC</t>
        </is>
      </c>
      <c r="D37" s="207" t="inlineStr">
        <is>
          <t>Net 30 days</t>
        </is>
      </c>
      <c r="E37" s="208" t="inlineStr">
        <is>
          <t>장비</t>
        </is>
      </c>
      <c r="F37" s="209" t="n">
        <v>46113</v>
      </c>
      <c r="G37" s="210" t="n">
        <v>46183</v>
      </c>
      <c r="H37" s="211" t="n">
        <v>69160</v>
      </c>
      <c r="I37" s="212" t="n">
        <v>1525.3</v>
      </c>
      <c r="J37" s="213" t="n">
        <v>105489748</v>
      </c>
      <c r="K37" s="213" t="n">
        <v>105489748</v>
      </c>
      <c r="L37" s="213" t="n">
        <v>7261</v>
      </c>
      <c r="M37" s="213" t="n">
        <v>4647</v>
      </c>
      <c r="N37" s="207" t="inlineStr">
        <is>
          <t>SR-1000 (4K) Standalone IMB / 14 SET</t>
        </is>
      </c>
      <c r="O37" s="210" t="n">
        <v>46155</v>
      </c>
      <c r="P37" s="207" t="inlineStr">
        <is>
          <t>14008-26-101170M</t>
        </is>
      </c>
      <c r="Q37" s="211">
        <f>IF(P37="","",IFERROR(VLOOKUP(O37,FxRateTable,4,TRUE),""))</f>
        <v/>
      </c>
      <c r="R37" s="211">
        <f>IF(P37="","",H37)</f>
        <v/>
      </c>
      <c r="S37" s="213" t="n">
        <v>0</v>
      </c>
      <c r="T37" s="213" t="n">
        <v>14809460</v>
      </c>
      <c r="U37" s="209" t="n"/>
      <c r="V37" s="207" t="inlineStr">
        <is>
          <t>조운관세사무소</t>
        </is>
      </c>
      <c r="W37" s="213" t="n">
        <v>250000</v>
      </c>
      <c r="X37" s="208" t="inlineStr">
        <is>
          <t>진로직스</t>
        </is>
      </c>
      <c r="Y37" s="213" t="n">
        <v>3759954</v>
      </c>
      <c r="Z37" s="213">
        <f>S37+W37</f>
        <v/>
      </c>
      <c r="AA37" s="214">
        <f>K37+L37+M37+IFERROR(VLOOKUP(B37,RemitTable2,9,FALSE),0)+Y37+Z37</f>
        <v/>
      </c>
      <c r="AB37" s="215" t="n">
        <v>14</v>
      </c>
      <c r="AC37" s="214">
        <f>ROUND(AA37/AB37,0)</f>
        <v/>
      </c>
      <c r="AD37" s="207" t="inlineStr">
        <is>
          <t>2026-05</t>
        </is>
      </c>
      <c r="AE37" s="210" t="n"/>
      <c r="AF37" s="209" t="n"/>
    </row>
    <row r="38" ht="15.75" customHeight="1">
      <c r="A38" s="207" t="n">
        <v>34</v>
      </c>
      <c r="B38" s="207" t="inlineStr">
        <is>
          <t>GPO473-3</t>
        </is>
      </c>
      <c r="C38" s="208" t="inlineStr">
        <is>
          <t>GDC</t>
        </is>
      </c>
      <c r="D38" s="207" t="inlineStr">
        <is>
          <t>Net 30 days</t>
        </is>
      </c>
      <c r="E38" s="208" t="inlineStr">
        <is>
          <t>장비</t>
        </is>
      </c>
      <c r="F38" s="209" t="n">
        <v>46113</v>
      </c>
      <c r="G38" s="210" t="n">
        <v>46183</v>
      </c>
      <c r="H38" s="211" t="n">
        <v>49400</v>
      </c>
      <c r="I38" s="212" t="n">
        <v>1525.3</v>
      </c>
      <c r="J38" s="213" t="n">
        <v>75349820</v>
      </c>
      <c r="K38" s="213" t="n">
        <v>75349820</v>
      </c>
      <c r="L38" s="213" t="n">
        <v>5186</v>
      </c>
      <c r="M38" s="213" t="n">
        <v>3319</v>
      </c>
      <c r="N38" s="207" t="inlineStr">
        <is>
          <t>SR-1000 (4K) Standalone IMB / 10 SET</t>
        </is>
      </c>
      <c r="O38" s="210" t="n">
        <v>46162</v>
      </c>
      <c r="P38" s="207" t="inlineStr">
        <is>
          <t>14008-26-101191M</t>
        </is>
      </c>
      <c r="Q38" s="211">
        <f>IF(P38="","",IFERROR(VLOOKUP(O38,FxRateTable,4,TRUE),""))</f>
        <v/>
      </c>
      <c r="R38" s="211">
        <f>IF(P38="","",H38)</f>
        <v/>
      </c>
      <c r="S38" s="213" t="n">
        <v>0</v>
      </c>
      <c r="T38" s="213" t="n">
        <v>7510210</v>
      </c>
      <c r="U38" s="209" t="n"/>
      <c r="V38" s="207" t="inlineStr">
        <is>
          <t>조운관세사무소</t>
        </is>
      </c>
      <c r="W38" s="213" t="n">
        <v>250000</v>
      </c>
      <c r="X38" s="208" t="inlineStr">
        <is>
          <t>진로직스</t>
        </is>
      </c>
      <c r="Y38" s="213" t="n">
        <v>2259958</v>
      </c>
      <c r="Z38" s="213">
        <f>S38+W38</f>
        <v/>
      </c>
      <c r="AA38" s="214">
        <f>K38+L38+M38+IFERROR(VLOOKUP(B38,RemitTable2,9,FALSE),0)+Y38+Z38</f>
        <v/>
      </c>
      <c r="AB38" s="215" t="n">
        <v>10</v>
      </c>
      <c r="AC38" s="214">
        <f>ROUND(AA38/AB38,0)</f>
        <v/>
      </c>
      <c r="AD38" s="207" t="inlineStr">
        <is>
          <t>2026-05</t>
        </is>
      </c>
      <c r="AE38" s="210" t="n"/>
      <c r="AF38" s="209" t="n"/>
    </row>
    <row r="39" ht="15.75" customHeight="1">
      <c r="A39" s="124" t="n">
        <v>35</v>
      </c>
      <c r="B39" s="124" t="inlineStr">
        <is>
          <t>IPO017</t>
        </is>
      </c>
      <c r="C39" s="124" t="inlineStr">
        <is>
          <t>Integ Process Group</t>
        </is>
      </c>
      <c r="D39" s="124" t="inlineStr">
        <is>
          <t>-</t>
        </is>
      </c>
      <c r="E39" s="124" t="inlineStr">
        <is>
          <t>부품</t>
        </is>
      </c>
      <c r="F39" s="181" t="inlineStr">
        <is>
          <t>-</t>
        </is>
      </c>
      <c r="G39" s="181" t="inlineStr">
        <is>
          <t>-</t>
        </is>
      </c>
      <c r="H39" s="126" t="n">
        <v>0</v>
      </c>
      <c r="I39" s="310">
        <f>IFERROR(VLOOKUP(B39,RemitTable2,7,FALSE),0)</f>
        <v/>
      </c>
      <c r="J39" s="128" t="n">
        <v>0</v>
      </c>
      <c r="K39" s="128">
        <f>IFERROR(ROUND(H39*I39,0),0)</f>
        <v/>
      </c>
      <c r="L39" s="128">
        <f>IFERROR(VLOOKUP(B39,RemitTable2,10,FALSE),0)</f>
        <v/>
      </c>
      <c r="M39" s="128">
        <f>IFERROR(VLOOKUP(B39,RemitTable2,11,FALSE),0)</f>
        <v/>
      </c>
      <c r="N39" s="124" t="inlineStr">
        <is>
          <t>JNIOR Model 410 (IPO017, FedEx 4/21 발송분)</t>
        </is>
      </c>
      <c r="O39" s="182" t="n"/>
      <c r="P39" s="129" t="n"/>
      <c r="Q39" s="126">
        <f>IF(P39="","",IFERROR(VLOOKUP(O39,FxRateTable,4,TRUE),""))</f>
        <v/>
      </c>
      <c r="R39" s="126">
        <f>IF(P39="","",H39)</f>
        <v/>
      </c>
      <c r="S39" s="128" t="n">
        <v>0</v>
      </c>
      <c r="T39" s="128" t="n">
        <v>0</v>
      </c>
      <c r="U39" s="181" t="n"/>
      <c r="V39" s="124" t="inlineStr">
        <is>
          <t>-</t>
        </is>
      </c>
      <c r="W39" s="128" t="n">
        <v>0</v>
      </c>
      <c r="X39" s="124" t="inlineStr">
        <is>
          <t>FedEx</t>
        </is>
      </c>
      <c r="Y39" s="128" t="n">
        <v>159250</v>
      </c>
      <c r="Z39" s="128">
        <f>S39+W39</f>
        <v/>
      </c>
      <c r="AA39" s="131">
        <f>K39+L39+M39+IFERROR(VLOOKUP(B39,RemitTable2,9,FALSE),0)+Y39+Z39</f>
        <v/>
      </c>
      <c r="AB39" s="167" t="n">
        <v>1</v>
      </c>
      <c r="AC39" s="131">
        <f>ROUND(AA39/AB39,0)</f>
        <v/>
      </c>
      <c r="AD39" s="129" t="n"/>
      <c r="AE39" s="181" t="inlineStr">
        <is>
          <t>-</t>
        </is>
      </c>
      <c r="AF39" s="181" t="inlineStr">
        <is>
          <t>-</t>
        </is>
      </c>
    </row>
    <row r="40" ht="15.75" customHeight="1">
      <c r="A40" s="124" t="n">
        <v>36</v>
      </c>
      <c r="B40" s="124" t="inlineStr">
        <is>
          <t>CPO696-5</t>
        </is>
      </c>
      <c r="C40" s="124" t="inlineStr">
        <is>
          <t>Christie</t>
        </is>
      </c>
      <c r="D40" s="124" t="inlineStr">
        <is>
          <t>Net 45 days</t>
        </is>
      </c>
      <c r="E40" s="124" t="inlineStr">
        <is>
          <t>장비</t>
        </is>
      </c>
      <c r="F40" s="181" t="n">
        <v>46163</v>
      </c>
      <c r="G40" s="181" t="inlineStr">
        <is>
          <t>-</t>
        </is>
      </c>
      <c r="H40" s="126" t="n">
        <v>346792</v>
      </c>
      <c r="I40" s="310">
        <f>IFERROR(VLOOKUP(B40,RemitTable2,7,FALSE),0)</f>
        <v/>
      </c>
      <c r="J40" s="128" t="n">
        <v>0</v>
      </c>
      <c r="K40" s="128">
        <f>IFERROR(ROUND(H40*I40,0),0)</f>
        <v/>
      </c>
      <c r="L40" s="128">
        <f>IFERROR(VLOOKUP(B40,RemitTable2,10,FALSE),0)</f>
        <v/>
      </c>
      <c r="M40" s="128">
        <f>IFERROR(VLOOKUP(B40,RemitTable2,11,FALSE),0)</f>
        <v/>
      </c>
      <c r="N40" s="124" t="inlineStr">
        <is>
          <t>CP4420-RGB 4K Projector 8대 + TPC Touch 8 (롯데 렌탈 4차)</t>
        </is>
      </c>
      <c r="O40" s="181" t="n">
        <v>46177</v>
      </c>
      <c r="P40" s="124" t="inlineStr">
        <is>
          <t>14008-26-101227M</t>
        </is>
      </c>
      <c r="Q40" s="126">
        <f>IF(P40="","",IFERROR(VLOOKUP(O40,FxRateTable,4,TRUE),""))</f>
        <v/>
      </c>
      <c r="R40" s="126">
        <f>IF(P40="","",H40)</f>
        <v/>
      </c>
      <c r="S40" s="128" t="n">
        <v>533676</v>
      </c>
      <c r="T40" s="128" t="n">
        <v>52536040</v>
      </c>
      <c r="U40" s="181" t="n"/>
      <c r="V40" s="124" t="inlineStr">
        <is>
          <t>조운관세사무소</t>
        </is>
      </c>
      <c r="W40" s="128" t="n">
        <v>286000</v>
      </c>
      <c r="X40" s="124" t="inlineStr">
        <is>
          <t>진로직스</t>
        </is>
      </c>
      <c r="Y40" s="128" t="n">
        <v>2898404</v>
      </c>
      <c r="Z40" s="128">
        <f>S40+W40</f>
        <v/>
      </c>
      <c r="AA40" s="131">
        <f>K40+L40+M40+IFERROR(VLOOKUP(B40,RemitTable2,9,FALSE),0)+Y40+Z40</f>
        <v/>
      </c>
      <c r="AB40" s="167" t="n">
        <v>8</v>
      </c>
      <c r="AC40" s="131">
        <f>ROUND(AA40/AB40,0)</f>
        <v/>
      </c>
      <c r="AD40" s="124" t="inlineStr">
        <is>
          <t>2026-06</t>
        </is>
      </c>
      <c r="AE40" s="182" t="n"/>
      <c r="AF40" s="182" t="n"/>
    </row>
    <row r="41" ht="15.75" customHeight="1">
      <c r="A41" s="124" t="n">
        <v>37</v>
      </c>
      <c r="B41" s="124" t="inlineStr">
        <is>
          <t>MPO67</t>
        </is>
      </c>
      <c r="C41" s="124" t="inlineStr">
        <is>
          <t>MAG</t>
        </is>
      </c>
      <c r="D41" s="124" t="inlineStr">
        <is>
          <t>T/T</t>
        </is>
      </c>
      <c r="E41" s="124" t="inlineStr">
        <is>
          <t>장비</t>
        </is>
      </c>
      <c r="F41" s="181" t="n">
        <v>46154</v>
      </c>
      <c r="G41" s="181" t="n">
        <v>46190</v>
      </c>
      <c r="H41" s="126" t="n">
        <v>49138.8</v>
      </c>
      <c r="I41" s="310" t="n">
        <v>1517.3</v>
      </c>
      <c r="J41" s="128" t="n">
        <v>74558330</v>
      </c>
      <c r="K41" s="128" t="n">
        <v>74558330</v>
      </c>
      <c r="L41" s="128" t="n">
        <v>10115</v>
      </c>
      <c r="M41" s="128" t="n">
        <v>6473</v>
      </c>
      <c r="N41" s="124" t="inlineStr">
        <is>
          <t>MAG 음향장비 loudspeakers 108EA (롯데컬처웍스)</t>
        </is>
      </c>
      <c r="O41" s="181" t="n">
        <v>46188</v>
      </c>
      <c r="P41" s="124" t="inlineStr">
        <is>
          <t>14008-26-101275M</t>
        </is>
      </c>
      <c r="Q41" s="126">
        <f>IF(P41="","",IFERROR(VLOOKUP(O41,FxRateTable,4,TRUE),""))</f>
        <v/>
      </c>
      <c r="R41" s="126">
        <f>IF(P41="","",H41)</f>
        <v/>
      </c>
      <c r="S41" s="128" t="n">
        <v>0</v>
      </c>
      <c r="T41" s="128" t="n">
        <v>8891915</v>
      </c>
      <c r="U41" s="181" t="n"/>
      <c r="V41" s="124" t="inlineStr">
        <is>
          <t>조운관세사무소</t>
        </is>
      </c>
      <c r="W41" s="128" t="n">
        <v>204725</v>
      </c>
      <c r="X41" s="124" t="inlineStr">
        <is>
          <t>진로직스</t>
        </is>
      </c>
      <c r="Y41" s="128" t="n">
        <v>14471173</v>
      </c>
      <c r="Z41" s="128">
        <f>S41+W41</f>
        <v/>
      </c>
      <c r="AA41" s="131">
        <f>K41+L41+M41+IFERROR(VLOOKUP(B41,RemitTable2,9,FALSE),0)+Y41+Z41</f>
        <v/>
      </c>
      <c r="AB41" s="167" t="n">
        <v>108</v>
      </c>
      <c r="AC41" s="131">
        <f>ROUND(AA41/AB41,0)</f>
        <v/>
      </c>
      <c r="AD41" s="124" t="inlineStr">
        <is>
          <t>2026-06</t>
        </is>
      </c>
      <c r="AE41" s="182" t="n"/>
      <c r="AF41" s="182" t="n"/>
    </row>
    <row r="42" ht="15.75" customHeight="1">
      <c r="A42" s="124" t="n">
        <v>38</v>
      </c>
      <c r="B42" s="124" t="inlineStr">
        <is>
          <t>MPO68</t>
        </is>
      </c>
      <c r="C42" s="124" t="inlineStr">
        <is>
          <t>MAG</t>
        </is>
      </c>
      <c r="D42" s="124" t="inlineStr">
        <is>
          <t>T/T</t>
        </is>
      </c>
      <c r="E42" s="124" t="inlineStr">
        <is>
          <t>장비</t>
        </is>
      </c>
      <c r="F42" s="181" t="n">
        <v>46154</v>
      </c>
      <c r="G42" s="181" t="n">
        <v>46190</v>
      </c>
      <c r="H42" s="126" t="n">
        <v>11587.2</v>
      </c>
      <c r="I42" s="310" t="n">
        <v>1517.3</v>
      </c>
      <c r="J42" s="128" t="n">
        <v>17582284</v>
      </c>
      <c r="K42" s="128" t="n">
        <v>17582284</v>
      </c>
      <c r="L42" s="128" t="n">
        <v>2385</v>
      </c>
      <c r="M42" s="128" t="n">
        <v>1527</v>
      </c>
      <c r="N42" s="124" t="inlineStr">
        <is>
          <t>MAG 음향장비 loudspeakers 29EA (CJ 미래원)</t>
        </is>
      </c>
      <c r="O42" s="181" t="n">
        <v>46188</v>
      </c>
      <c r="P42" s="124" t="inlineStr">
        <is>
          <t>14008-26-101275M</t>
        </is>
      </c>
      <c r="Q42" s="126">
        <f>IF(P42="","",IFERROR(VLOOKUP(O42,FxRateTable,4,TRUE),""))</f>
        <v/>
      </c>
      <c r="R42" s="126">
        <f>IF(P42="","",H42)</f>
        <v/>
      </c>
      <c r="S42" s="128" t="n">
        <v>0</v>
      </c>
      <c r="T42" s="128" t="n">
        <v>2096763</v>
      </c>
      <c r="U42" s="181" t="n"/>
      <c r="V42" s="124" t="inlineStr">
        <is>
          <t>조운관세사무소</t>
        </is>
      </c>
      <c r="W42" s="128" t="n">
        <v>48275</v>
      </c>
      <c r="X42" s="124" t="inlineStr">
        <is>
          <t>진로직스</t>
        </is>
      </c>
      <c r="Y42" s="128" t="n">
        <v>3412382</v>
      </c>
      <c r="Z42" s="128">
        <f>S42+W42</f>
        <v/>
      </c>
      <c r="AA42" s="131">
        <f>K42+L42+M42+IFERROR(VLOOKUP(B42,RemitTable2,9,FALSE),0)+Y42+Z42</f>
        <v/>
      </c>
      <c r="AB42" s="167" t="n">
        <v>29</v>
      </c>
      <c r="AC42" s="131">
        <f>ROUND(AA42/AB42,0)</f>
        <v/>
      </c>
      <c r="AD42" s="124" t="inlineStr">
        <is>
          <t>2026-06</t>
        </is>
      </c>
      <c r="AE42" s="182" t="n"/>
      <c r="AF42" s="182" t="n"/>
    </row>
    <row r="43" ht="15.75" customHeight="1">
      <c r="A43" s="124" t="n">
        <v>39</v>
      </c>
      <c r="B43" s="124" t="inlineStr">
        <is>
          <t>APO001</t>
        </is>
      </c>
      <c r="C43" s="124" t="inlineStr">
        <is>
          <t>Appotronics</t>
        </is>
      </c>
      <c r="D43" s="124" t="inlineStr">
        <is>
          <t>100% TT in advance</t>
        </is>
      </c>
      <c r="E43" s="124" t="inlineStr">
        <is>
          <t>부품</t>
        </is>
      </c>
      <c r="F43" s="181" t="n">
        <v>46163</v>
      </c>
      <c r="G43" s="181" t="n">
        <v>46190</v>
      </c>
      <c r="H43" s="126" t="n">
        <v>12400</v>
      </c>
      <c r="I43" s="310" t="n">
        <v>1517.1</v>
      </c>
      <c r="J43" s="128" t="n">
        <v>18812040</v>
      </c>
      <c r="K43" s="128" t="n">
        <v>18812040</v>
      </c>
      <c r="L43" s="128" t="n">
        <v>10000</v>
      </c>
      <c r="M43" s="128" t="n">
        <v>8000</v>
      </c>
      <c r="N43" s="124" t="inlineStr">
        <is>
          <t>S20-C2220-BEAB 레이저모듈 2set (CP2220)</t>
        </is>
      </c>
      <c r="O43" s="181" t="n">
        <v>46202</v>
      </c>
      <c r="P43" s="124" t="inlineStr">
        <is>
          <t>14008-26-101317M</t>
        </is>
      </c>
      <c r="Q43" s="126">
        <f>IF(P43="","",IFERROR(VLOOKUP(O43,FxRateTable,4,TRUE),""))</f>
        <v/>
      </c>
      <c r="R43" s="126">
        <f>IF(P43="","",H43)</f>
        <v/>
      </c>
      <c r="S43" s="128" t="n">
        <v>0</v>
      </c>
      <c r="T43" s="128" t="n">
        <v>1959600</v>
      </c>
      <c r="U43" s="181" t="n">
        <v>46202</v>
      </c>
      <c r="V43" s="124" t="inlineStr">
        <is>
          <t>조운관세사무소</t>
        </is>
      </c>
      <c r="W43" s="128" t="n">
        <v>43010</v>
      </c>
      <c r="X43" s="124" t="inlineStr">
        <is>
          <t>진로직스</t>
        </is>
      </c>
      <c r="Y43" s="128" t="n">
        <v>692650</v>
      </c>
      <c r="Z43" s="128">
        <f>S43+W43</f>
        <v/>
      </c>
      <c r="AA43" s="131">
        <f>K43+L43+M43+IFERROR(VLOOKUP(B43,RemitTable2,9,FALSE),0)+Y43+Z43</f>
        <v/>
      </c>
      <c r="AB43" s="167" t="n">
        <v>2</v>
      </c>
      <c r="AC43" s="131">
        <f>ROUND(AA43/AB43,0)</f>
        <v/>
      </c>
      <c r="AD43" s="124" t="inlineStr">
        <is>
          <t>2026-06</t>
        </is>
      </c>
      <c r="AE43" s="182" t="n"/>
      <c r="AF43" s="182" t="n"/>
    </row>
    <row r="44" ht="15.75" customHeight="1">
      <c r="A44" s="124" t="n">
        <v>40</v>
      </c>
      <c r="B44" s="124" t="inlineStr">
        <is>
          <t>GPO483</t>
        </is>
      </c>
      <c r="C44" s="124" t="inlineStr">
        <is>
          <t>GDC</t>
        </is>
      </c>
      <c r="D44" s="124" t="inlineStr">
        <is>
          <t>Net 30 days</t>
        </is>
      </c>
      <c r="E44" s="124" t="inlineStr">
        <is>
          <t>장비</t>
        </is>
      </c>
      <c r="F44" s="181" t="n">
        <v>46174</v>
      </c>
      <c r="G44" s="181" t="inlineStr">
        <is>
          <t>-</t>
        </is>
      </c>
      <c r="H44" s="126" t="n">
        <v>14730</v>
      </c>
      <c r="I44" s="310" t="n">
        <v>0</v>
      </c>
      <c r="J44" s="128" t="n">
        <v>0</v>
      </c>
      <c r="K44" s="128" t="n">
        <v>0</v>
      </c>
      <c r="L44" s="128" t="n">
        <v>0</v>
      </c>
      <c r="M44" s="128" t="n">
        <v>0</v>
      </c>
      <c r="N44" s="124" t="inlineStr">
        <is>
          <t>AIB-3000 Cinema Audio Processor 9EA (롯데 인천검단 6 / CJ미래원 1 / RNR 2)</t>
        </is>
      </c>
      <c r="O44" s="182" t="n">
        <v>46188</v>
      </c>
      <c r="P44" s="129" t="inlineStr">
        <is>
          <t>23176-26-472403M</t>
        </is>
      </c>
      <c r="Q44" s="126">
        <f>IF(P44="","",IFERROR(VLOOKUP(O44,FxRateTable,4,TRUE),""))</f>
        <v/>
      </c>
      <c r="R44" s="126">
        <f>IF(P44="","",H44)</f>
        <v/>
      </c>
      <c r="S44" s="128" t="n">
        <v>0</v>
      </c>
      <c r="T44" s="128" t="n">
        <v>2457950</v>
      </c>
      <c r="U44" s="181" t="n"/>
      <c r="V44" s="124" t="inlineStr">
        <is>
          <t>스타합동관세사무소</t>
        </is>
      </c>
      <c r="W44" s="128" t="n">
        <v>0</v>
      </c>
      <c r="X44" s="124" t="inlineStr">
        <is>
          <t>Fedex</t>
        </is>
      </c>
      <c r="Y44" s="128" t="n">
        <v>0</v>
      </c>
      <c r="Z44" s="128">
        <f>S44+W44</f>
        <v/>
      </c>
      <c r="AA44" s="131">
        <f>K44+L44+M44+IFERROR(VLOOKUP(B44,RemitTable2,9,FALSE),0)+Y44+Z44</f>
        <v/>
      </c>
      <c r="AB44" s="167" t="n">
        <v>9</v>
      </c>
      <c r="AC44" s="131">
        <f>ROUND(AA44/AB44,0)</f>
        <v/>
      </c>
      <c r="AD44" s="129" t="inlineStr">
        <is>
          <t>2026-06</t>
        </is>
      </c>
      <c r="AE44" s="182" t="n"/>
      <c r="AF44" s="182" t="n"/>
    </row>
    <row r="45" ht="15.75" customHeight="1">
      <c r="A45" s="124" t="n">
        <v>41</v>
      </c>
      <c r="B45" s="124" t="inlineStr">
        <is>
          <t>CPO701</t>
        </is>
      </c>
      <c r="C45" s="124" t="inlineStr">
        <is>
          <t>Christie</t>
        </is>
      </c>
      <c r="D45" s="124" t="inlineStr">
        <is>
          <t>Net 45 days</t>
        </is>
      </c>
      <c r="E45" s="124" t="inlineStr">
        <is>
          <t>부품(Fan)</t>
        </is>
      </c>
      <c r="F45" s="181" t="inlineStr">
        <is>
          <t>-</t>
        </is>
      </c>
      <c r="G45" s="181" t="inlineStr">
        <is>
          <t>-</t>
        </is>
      </c>
      <c r="H45" s="126" t="n">
        <v>54</v>
      </c>
      <c r="I45" s="310">
        <f>IFERROR(VLOOKUP(B45,RemitTable2,7,FALSE),0)</f>
        <v/>
      </c>
      <c r="J45" s="128" t="n">
        <v>0</v>
      </c>
      <c r="K45" s="128">
        <f>IFERROR(ROUND(H45*I45,0),0)</f>
        <v/>
      </c>
      <c r="L45" s="128">
        <f>IFERROR(VLOOKUP(B45,RemitTable2,10,FALSE),0)</f>
        <v/>
      </c>
      <c r="M45" s="128">
        <f>IFERROR(VLOOKUP(B45,RemitTable2,11,FALSE),0)</f>
        <v/>
      </c>
      <c r="N45" s="124" t="inlineStr">
        <is>
          <t>ASSY FAN 12V 0.6A 4-Wire 92MM (2EA)</t>
        </is>
      </c>
      <c r="O45" s="182" t="n">
        <v>46216</v>
      </c>
      <c r="P45" s="129" t="inlineStr">
        <is>
          <t>23176-26-606930M</t>
        </is>
      </c>
      <c r="Q45" s="126">
        <f>IF(P45="","",IFERROR(VLOOKUP(O45,FxRateTable,4,TRUE),""))</f>
        <v/>
      </c>
      <c r="R45" s="126">
        <f>IF(P45="","",H45)</f>
        <v/>
      </c>
      <c r="S45" s="128" t="n">
        <v>6631</v>
      </c>
      <c r="T45" s="128" t="n">
        <v>8952</v>
      </c>
      <c r="U45" s="181" t="n"/>
      <c r="V45" s="124" t="inlineStr">
        <is>
          <t>스타합동관세사무소</t>
        </is>
      </c>
      <c r="W45" s="128" t="n">
        <v>0</v>
      </c>
      <c r="X45" s="124" t="inlineStr">
        <is>
          <t>Fedex</t>
        </is>
      </c>
      <c r="Y45" s="128" t="n">
        <v>0</v>
      </c>
      <c r="Z45" s="128">
        <f>S45+W45</f>
        <v/>
      </c>
      <c r="AA45" s="131">
        <f>K45+L45+M45+IFERROR(VLOOKUP(B45,RemitTable2,9,FALSE),0)+Y45+Z45</f>
        <v/>
      </c>
      <c r="AB45" s="167" t="n">
        <v>2</v>
      </c>
      <c r="AC45" s="131">
        <f>ROUND(AA45/AB45,0)</f>
        <v/>
      </c>
      <c r="AD45" s="129" t="inlineStr">
        <is>
          <t>2026-07</t>
        </is>
      </c>
      <c r="AE45" s="182" t="inlineStr">
        <is>
          <t>-</t>
        </is>
      </c>
      <c r="AF45" s="182" t="inlineStr">
        <is>
          <t>-</t>
        </is>
      </c>
    </row>
    <row r="46" ht="15.75" customHeight="1">
      <c r="A46" s="124" t="n">
        <v>42</v>
      </c>
      <c r="B46" s="124" t="inlineStr">
        <is>
          <t>CPO703</t>
        </is>
      </c>
      <c r="C46" s="124" t="inlineStr">
        <is>
          <t>Christie</t>
        </is>
      </c>
      <c r="D46" s="124" t="inlineStr">
        <is>
          <t>Net 45 days</t>
        </is>
      </c>
      <c r="E46" s="124" t="inlineStr">
        <is>
          <t>부품(렌즈)</t>
        </is>
      </c>
      <c r="F46" s="181" t="inlineStr">
        <is>
          <t>-</t>
        </is>
      </c>
      <c r="G46" s="181" t="inlineStr">
        <is>
          <t>-</t>
        </is>
      </c>
      <c r="H46" s="126" t="n">
        <v>5445</v>
      </c>
      <c r="I46" s="310">
        <f>IFERROR(VLOOKUP(B46,RemitTable2,7,FALSE),0)</f>
        <v/>
      </c>
      <c r="J46" s="128" t="n">
        <v>0</v>
      </c>
      <c r="K46" s="128">
        <f>IFERROR(ROUND(H46*I46,0),0)</f>
        <v/>
      </c>
      <c r="L46" s="128">
        <f>IFERROR(VLOOKUP(B46,RemitTable2,10,FALSE),0)</f>
        <v/>
      </c>
      <c r="M46" s="128">
        <f>IFERROR(VLOOKUP(B46,RemitTable2,11,FALSE),0)</f>
        <v/>
      </c>
      <c r="N46" s="124" t="inlineStr">
        <is>
          <t>Lens 0.83-1.21 .69" DLPCine Zoom MT (1EA)</t>
        </is>
      </c>
      <c r="O46" s="182" t="n">
        <v>46216</v>
      </c>
      <c r="P46" s="129" t="inlineStr">
        <is>
          <t>23176-26-606930M</t>
        </is>
      </c>
      <c r="Q46" s="126">
        <f>IF(P46="","",IFERROR(VLOOKUP(O46,FxRateTable,4,TRUE),""))</f>
        <v/>
      </c>
      <c r="R46" s="126">
        <f>IF(P46="","",H46)</f>
        <v/>
      </c>
      <c r="S46" s="128" t="n">
        <v>668679</v>
      </c>
      <c r="T46" s="128" t="n">
        <v>902728</v>
      </c>
      <c r="U46" s="181" t="n"/>
      <c r="V46" s="124" t="inlineStr">
        <is>
          <t>스타합동관세사무소</t>
        </is>
      </c>
      <c r="W46" s="128" t="n">
        <v>0</v>
      </c>
      <c r="X46" s="124" t="inlineStr">
        <is>
          <t>Fedex</t>
        </is>
      </c>
      <c r="Y46" s="128" t="n">
        <v>0</v>
      </c>
      <c r="Z46" s="128">
        <f>S46+W46</f>
        <v/>
      </c>
      <c r="AA46" s="131">
        <f>K46+L46+M46+IFERROR(VLOOKUP(B46,RemitTable2,9,FALSE),0)+Y46+Z46</f>
        <v/>
      </c>
      <c r="AB46" s="167" t="n">
        <v>1</v>
      </c>
      <c r="AC46" s="131">
        <f>ROUND(AA46/AB46,0)</f>
        <v/>
      </c>
      <c r="AD46" s="129" t="inlineStr">
        <is>
          <t>2026-07</t>
        </is>
      </c>
      <c r="AE46" s="182" t="inlineStr">
        <is>
          <t>-</t>
        </is>
      </c>
      <c r="AF46" s="182" t="inlineStr">
        <is>
          <t>-</t>
        </is>
      </c>
    </row>
    <row r="47" ht="15.75" customHeight="1">
      <c r="A47" s="124" t="n">
        <v>43</v>
      </c>
      <c r="B47" s="124" t="inlineStr">
        <is>
          <t>GPO488</t>
        </is>
      </c>
      <c r="C47" s="124" t="inlineStr">
        <is>
          <t>GDC</t>
        </is>
      </c>
      <c r="D47" s="124" t="inlineStr">
        <is>
          <t>Net 30 days</t>
        </is>
      </c>
      <c r="E47" s="124" t="inlineStr">
        <is>
          <t>부품(Fan)</t>
        </is>
      </c>
      <c r="F47" s="181" t="inlineStr">
        <is>
          <t>-</t>
        </is>
      </c>
      <c r="G47" s="181" t="inlineStr">
        <is>
          <t>-</t>
        </is>
      </c>
      <c r="H47" s="126" t="n">
        <v>180</v>
      </c>
      <c r="I47" s="310">
        <f>IFERROR(VLOOKUP(B47,RemitTable2,7,FALSE),0)</f>
        <v/>
      </c>
      <c r="J47" s="128" t="n">
        <v>0</v>
      </c>
      <c r="K47" s="128">
        <f>IFERROR(ROUND(H47*I47,0),0)</f>
        <v/>
      </c>
      <c r="L47" s="128">
        <f>IFERROR(VLOOKUP(B47,RemitTable2,10,FALSE),0)</f>
        <v/>
      </c>
      <c r="M47" s="128">
        <f>IFERROR(VLOOKUP(B47,RemitTable2,11,FALSE),0)</f>
        <v/>
      </c>
      <c r="N47" s="124" t="inlineStr">
        <is>
          <t>PSD-3000-U2 Rear Ventilation Fan (20EA)</t>
        </is>
      </c>
      <c r="O47" s="182" t="n">
        <v>46216</v>
      </c>
      <c r="P47" s="129" t="inlineStr">
        <is>
          <t>23176-26-605075M</t>
        </is>
      </c>
      <c r="Q47" s="126">
        <f>IF(P47="","",IFERROR(VLOOKUP(O47,FxRateTable,4,TRUE),""))</f>
        <v/>
      </c>
      <c r="R47" s="126">
        <f>IF(P47="","",H47)</f>
        <v/>
      </c>
      <c r="S47" s="128" t="n">
        <v>24140</v>
      </c>
      <c r="T47" s="128" t="n">
        <v>32590</v>
      </c>
      <c r="U47" s="181" t="n"/>
      <c r="V47" s="124" t="inlineStr">
        <is>
          <t>스타합동관세사무소</t>
        </is>
      </c>
      <c r="W47" s="128" t="n">
        <v>0</v>
      </c>
      <c r="X47" s="124" t="inlineStr">
        <is>
          <t>Fedex</t>
        </is>
      </c>
      <c r="Y47" s="128" t="n">
        <v>0</v>
      </c>
      <c r="Z47" s="128">
        <f>S47+W47</f>
        <v/>
      </c>
      <c r="AA47" s="131">
        <f>K47+L47+M47+IFERROR(VLOOKUP(B47,RemitTable2,9,FALSE),0)+Y47+Z47</f>
        <v/>
      </c>
      <c r="AB47" s="167" t="n">
        <v>20</v>
      </c>
      <c r="AC47" s="131">
        <f>ROUND(AA47/AB47,0)</f>
        <v/>
      </c>
      <c r="AD47" s="129" t="inlineStr">
        <is>
          <t>2026-07</t>
        </is>
      </c>
      <c r="AE47" s="182" t="inlineStr">
        <is>
          <t>-</t>
        </is>
      </c>
      <c r="AF47" s="182" t="inlineStr">
        <is>
          <t>-</t>
        </is>
      </c>
    </row>
    <row r="48" ht="15.75" customHeight="1">
      <c r="A48" s="124" t="n">
        <v>44</v>
      </c>
      <c r="B48" s="124" t="inlineStr">
        <is>
          <t>GPO493</t>
        </is>
      </c>
      <c r="C48" s="124" t="inlineStr">
        <is>
          <t>GDC</t>
        </is>
      </c>
      <c r="D48" s="124" t="inlineStr">
        <is>
          <t>Net 30 days</t>
        </is>
      </c>
      <c r="E48" s="124" t="inlineStr">
        <is>
          <t>부품</t>
        </is>
      </c>
      <c r="F48" s="181" t="inlineStr">
        <is>
          <t>-</t>
        </is>
      </c>
      <c r="G48" s="181" t="inlineStr">
        <is>
          <t>-</t>
        </is>
      </c>
      <c r="H48" s="126" t="n">
        <v>4470</v>
      </c>
      <c r="I48" s="310">
        <f>IFERROR(VLOOKUP(B48,RemitTable2,7,FALSE),0)</f>
        <v/>
      </c>
      <c r="J48" s="128" t="n">
        <v>0</v>
      </c>
      <c r="K48" s="128">
        <f>IFERROR(ROUND(H48*I48,0),0)</f>
        <v/>
      </c>
      <c r="L48" s="128">
        <f>IFERROR(VLOOKUP(B48,RemitTable2,10,FALSE),0)</f>
        <v/>
      </c>
      <c r="M48" s="128">
        <f>IFERROR(VLOOKUP(B48,RemitTable2,11,FALSE),0)</f>
        <v/>
      </c>
      <c r="N48" s="124" t="inlineStr">
        <is>
          <t>SR-1000 Christie S2/S3 Faceplate (37EA) + Security Gate (45EA)</t>
        </is>
      </c>
      <c r="O48" s="182" t="n">
        <v>46218</v>
      </c>
      <c r="P48" s="129" t="inlineStr">
        <is>
          <t>23176-26-618473M</t>
        </is>
      </c>
      <c r="Q48" s="126">
        <f>IF(P48="","",IFERROR(VLOOKUP(O48,FxRateTable,4,TRUE),""))</f>
        <v/>
      </c>
      <c r="R48" s="126">
        <f>IF(P48="","",H48)</f>
        <v/>
      </c>
      <c r="S48" s="128" t="n">
        <v>0</v>
      </c>
      <c r="T48" s="128" t="n">
        <v>692710</v>
      </c>
      <c r="U48" s="181" t="n"/>
      <c r="V48" s="124" t="inlineStr">
        <is>
          <t>스타합동관세사무소</t>
        </is>
      </c>
      <c r="W48" s="128" t="n">
        <v>0</v>
      </c>
      <c r="X48" s="124" t="inlineStr">
        <is>
          <t>Fedex</t>
        </is>
      </c>
      <c r="Y48" s="128" t="n">
        <v>0</v>
      </c>
      <c r="Z48" s="128">
        <f>S48+W48</f>
        <v/>
      </c>
      <c r="AA48" s="131">
        <f>K48+L48+M48+IFERROR(VLOOKUP(B48,RemitTable2,9,FALSE),0)+Y48+Z48</f>
        <v/>
      </c>
      <c r="AB48" s="167" t="n">
        <v>82</v>
      </c>
      <c r="AC48" s="131">
        <f>ROUND(AA48/AB48,0)</f>
        <v/>
      </c>
      <c r="AD48" s="129" t="inlineStr">
        <is>
          <t>2026-07</t>
        </is>
      </c>
      <c r="AE48" s="182" t="inlineStr">
        <is>
          <t>-</t>
        </is>
      </c>
      <c r="AF48" s="182" t="inlineStr">
        <is>
          <t>-</t>
        </is>
      </c>
    </row>
    <row r="49" ht="15.75" customHeight="1">
      <c r="A49" s="124" t="n">
        <v>45</v>
      </c>
      <c r="B49" s="124" t="inlineStr">
        <is>
          <t>GPO482</t>
        </is>
      </c>
      <c r="C49" s="124" t="inlineStr">
        <is>
          <t>GDC (Espedeo)</t>
        </is>
      </c>
      <c r="D49" s="124" t="inlineStr">
        <is>
          <t>Net 30 days</t>
        </is>
      </c>
      <c r="E49" s="124" t="inlineStr">
        <is>
          <t>장비</t>
        </is>
      </c>
      <c r="F49" s="181" t="inlineStr">
        <is>
          <t>-</t>
        </is>
      </c>
      <c r="G49" s="181" t="inlineStr">
        <is>
          <t>-</t>
        </is>
      </c>
      <c r="H49" s="126" t="n">
        <v>329510</v>
      </c>
      <c r="I49" s="310">
        <f>IFERROR(VLOOKUP(B49,RemitTable2,7,FALSE),0)</f>
        <v/>
      </c>
      <c r="J49" s="128" t="n">
        <v>0</v>
      </c>
      <c r="K49" s="128">
        <f>IFERROR(ROUND(H49*I49,0),0)</f>
        <v/>
      </c>
      <c r="L49" s="128">
        <f>IFERROR(VLOOKUP(B49,RemitTable2,10,FALSE),0)</f>
        <v/>
      </c>
      <c r="M49" s="128">
        <f>IFERROR(VLOOKUP(B49,RemitTable2,11,FALSE),0)</f>
        <v/>
      </c>
      <c r="N49" s="124" t="inlineStr">
        <is>
          <t>Tricorne Premium Cinema LED 1SET + Enterprise Storage 8TB (3EA) + Synchronization kit 1SET</t>
        </is>
      </c>
      <c r="O49" s="182" t="n">
        <v>46224</v>
      </c>
      <c r="P49" s="129" t="inlineStr">
        <is>
          <t>14008-26-101364M</t>
        </is>
      </c>
      <c r="Q49" s="126">
        <f>IF(P49="","",IFERROR(VLOOKUP(O49,FxRateTable,4,TRUE),""))</f>
        <v/>
      </c>
      <c r="R49" s="126">
        <f>IF(P49="","",H49)</f>
        <v/>
      </c>
      <c r="S49" s="128" t="n">
        <v>0</v>
      </c>
      <c r="T49" s="128" t="n">
        <v>49543390</v>
      </c>
      <c r="U49" s="181" t="n"/>
      <c r="V49" s="124" t="inlineStr">
        <is>
          <t>조운관세사무소</t>
        </is>
      </c>
      <c r="W49" s="128" t="n">
        <v>0</v>
      </c>
      <c r="X49" s="124" t="inlineStr">
        <is>
          <t>훼밀리익스프레스</t>
        </is>
      </c>
      <c r="Y49" s="128" t="n">
        <v>0</v>
      </c>
      <c r="Z49" s="128">
        <f>S49+W49</f>
        <v/>
      </c>
      <c r="AA49" s="131">
        <f>K49+L49+M49+IFERROR(VLOOKUP(B49,RemitTable2,9,FALSE),0)+Y49+Z49</f>
        <v/>
      </c>
      <c r="AB49" s="167" t="n">
        <v>1</v>
      </c>
      <c r="AC49" s="131">
        <f>ROUND(AA49/AB49,0)</f>
        <v/>
      </c>
      <c r="AD49" s="129" t="inlineStr">
        <is>
          <t>2026-07</t>
        </is>
      </c>
      <c r="AE49" s="182" t="inlineStr">
        <is>
          <t>-</t>
        </is>
      </c>
      <c r="AF49" s="182" t="inlineStr">
        <is>
          <t>-</t>
        </is>
      </c>
    </row>
    <row r="50" ht="15.75" customHeight="1">
      <c r="A50" s="124" t="n">
        <v>46</v>
      </c>
      <c r="B50" s="124" t="inlineStr">
        <is>
          <t>GPO485</t>
        </is>
      </c>
      <c r="C50" s="124" t="inlineStr">
        <is>
          <t>GDC (Espedeo)</t>
        </is>
      </c>
      <c r="D50" s="124" t="inlineStr">
        <is>
          <t>Net 30 days</t>
        </is>
      </c>
      <c r="E50" s="124" t="inlineStr">
        <is>
          <t>장비</t>
        </is>
      </c>
      <c r="F50" s="181" t="inlineStr">
        <is>
          <t>-</t>
        </is>
      </c>
      <c r="G50" s="181" t="inlineStr">
        <is>
          <t>-</t>
        </is>
      </c>
      <c r="H50" s="126" t="n">
        <v>5600</v>
      </c>
      <c r="I50" s="310">
        <f>IFERROR(VLOOKUP(B50,RemitTable2,7,FALSE),0)</f>
        <v/>
      </c>
      <c r="J50" s="128" t="n">
        <v>0</v>
      </c>
      <c r="K50" s="128">
        <f>IFERROR(ROUND(H50*I50,0),0)</f>
        <v/>
      </c>
      <c r="L50" s="128">
        <f>IFERROR(VLOOKUP(B50,RemitTable2,10,FALSE),0)</f>
        <v/>
      </c>
      <c r="M50" s="128">
        <f>IFERROR(VLOOKUP(B50,RemitTable2,11,FALSE),0)</f>
        <v/>
      </c>
      <c r="N50" s="124" t="inlineStr">
        <is>
          <t>Active 3D system AL-1000T 1SET + 3D active glasses GL-110T (50EA)</t>
        </is>
      </c>
      <c r="O50" s="182" t="n">
        <v>46224</v>
      </c>
      <c r="P50" s="129" t="inlineStr">
        <is>
          <t>14008-26-101364M</t>
        </is>
      </c>
      <c r="Q50" s="126">
        <f>IF(P50="","",IFERROR(VLOOKUP(O50,FxRateTable,4,TRUE),""))</f>
        <v/>
      </c>
      <c r="R50" s="126">
        <f>IF(P50="","",H50)</f>
        <v/>
      </c>
      <c r="S50" s="128" t="n">
        <v>0</v>
      </c>
      <c r="T50" s="128" t="n">
        <v>841980</v>
      </c>
      <c r="U50" s="181" t="n"/>
      <c r="V50" s="124" t="inlineStr">
        <is>
          <t>조운관세사무소</t>
        </is>
      </c>
      <c r="W50" s="128" t="n">
        <v>0</v>
      </c>
      <c r="X50" s="124" t="inlineStr">
        <is>
          <t>훼밀리익스프레스</t>
        </is>
      </c>
      <c r="Y50" s="128" t="n">
        <v>0</v>
      </c>
      <c r="Z50" s="128">
        <f>S50+W50</f>
        <v/>
      </c>
      <c r="AA50" s="131">
        <f>K50+L50+M50+IFERROR(VLOOKUP(B50,RemitTable2,9,FALSE),0)+Y50+Z50</f>
        <v/>
      </c>
      <c r="AB50" s="167" t="n">
        <v>51</v>
      </c>
      <c r="AC50" s="131">
        <f>ROUND(AA50/AB50,0)</f>
        <v/>
      </c>
      <c r="AD50" s="129" t="inlineStr">
        <is>
          <t>2026-07</t>
        </is>
      </c>
      <c r="AE50" s="182" t="inlineStr">
        <is>
          <t>-</t>
        </is>
      </c>
      <c r="AF50" s="182" t="inlineStr">
        <is>
          <t>-</t>
        </is>
      </c>
    </row>
    <row r="51" ht="15.75" customHeight="1">
      <c r="A51" s="296" t="n">
        <v>47</v>
      </c>
      <c r="B51" s="296" t="inlineStr">
        <is>
          <t>CPO667</t>
        </is>
      </c>
      <c r="C51" s="297" t="inlineStr">
        <is>
          <t>Christie</t>
        </is>
      </c>
      <c r="D51" s="296" t="inlineStr">
        <is>
          <t>Net 45 days</t>
        </is>
      </c>
      <c r="E51" s="297" t="inlineStr">
        <is>
          <t>워런티(EW)</t>
        </is>
      </c>
      <c r="F51" s="298" t="n">
        <v>45925</v>
      </c>
      <c r="G51" s="299" t="n">
        <v>46080</v>
      </c>
      <c r="H51" s="300" t="n">
        <v>5673</v>
      </c>
      <c r="I51" s="301" t="n">
        <v>1441.6</v>
      </c>
      <c r="J51" s="302" t="n">
        <v>8178197</v>
      </c>
      <c r="K51" s="302" t="n">
        <v>8178197</v>
      </c>
      <c r="L51" s="302" t="n">
        <v>499</v>
      </c>
      <c r="M51" s="302" t="n">
        <v>319</v>
      </c>
      <c r="N51" s="296" t="inlineStr">
        <is>
          <t>EW CP2220</t>
        </is>
      </c>
      <c r="O51" s="299" t="inlineStr">
        <is>
          <t>-</t>
        </is>
      </c>
      <c r="P51" s="296" t="inlineStr">
        <is>
          <t>-</t>
        </is>
      </c>
      <c r="Q51" s="300">
        <f>IF(P51="","",IFERROR(VLOOKUP(O51,FxRateTable,4,TRUE),""))</f>
        <v/>
      </c>
      <c r="R51" s="302">
        <f>IF(P51="","",H51)</f>
        <v/>
      </c>
      <c r="S51" s="302" t="n">
        <v>0</v>
      </c>
      <c r="T51" s="302" t="n">
        <v>0</v>
      </c>
      <c r="U51" s="298" t="n"/>
      <c r="V51" s="296" t="inlineStr">
        <is>
          <t>-</t>
        </is>
      </c>
      <c r="W51" s="302" t="n">
        <v>0</v>
      </c>
      <c r="X51" s="297" t="inlineStr">
        <is>
          <t>-</t>
        </is>
      </c>
      <c r="Y51" s="302" t="n">
        <v>0</v>
      </c>
      <c r="Z51" s="302">
        <f>S51+W51</f>
        <v/>
      </c>
      <c r="AA51" s="302">
        <f>K51+L51+M51+IFERROR(VLOOKUP(B51,RemitTable2,9,FALSE),0)+Y51+Z51</f>
        <v/>
      </c>
      <c r="AB51" s="303" t="n">
        <v>1</v>
      </c>
      <c r="AC51" s="302">
        <f>ROUND(AA51/AB51,0)</f>
        <v/>
      </c>
      <c r="AD51" s="296" t="inlineStr">
        <is>
          <t>2025-09</t>
        </is>
      </c>
      <c r="AE51" s="299" t="inlineStr">
        <is>
          <t>2025-09-13</t>
        </is>
      </c>
      <c r="AF51" s="298" t="inlineStr">
        <is>
          <t>2026-08-28</t>
        </is>
      </c>
    </row>
    <row r="52" ht="15.75" customHeight="1">
      <c r="A52" s="296" t="n">
        <v>48</v>
      </c>
      <c r="B52" s="296" t="inlineStr">
        <is>
          <t>GPO458</t>
        </is>
      </c>
      <c r="C52" s="297" t="inlineStr">
        <is>
          <t>GDC</t>
        </is>
      </c>
      <c r="D52" s="296" t="inlineStr">
        <is>
          <t>Net 30 days</t>
        </is>
      </c>
      <c r="E52" s="297" t="inlineStr">
        <is>
          <t>라이센스</t>
        </is>
      </c>
      <c r="F52" s="298" t="n">
        <v>45982</v>
      </c>
      <c r="G52" s="299" t="n">
        <v>46020</v>
      </c>
      <c r="H52" s="300" t="n">
        <v>350</v>
      </c>
      <c r="I52" s="301" t="n">
        <v>1439.1</v>
      </c>
      <c r="J52" s="302" t="n">
        <v>503685</v>
      </c>
      <c r="K52" s="302" t="n">
        <v>503685</v>
      </c>
      <c r="L52" s="302" t="n">
        <v>253</v>
      </c>
      <c r="M52" s="302" t="n">
        <v>202</v>
      </c>
      <c r="N52" s="296" t="inlineStr">
        <is>
          <t>HFR License</t>
        </is>
      </c>
      <c r="O52" s="299" t="inlineStr">
        <is>
          <t>-</t>
        </is>
      </c>
      <c r="P52" s="296" t="inlineStr">
        <is>
          <t>-</t>
        </is>
      </c>
      <c r="Q52" s="300">
        <f>IF(P52="","",IFERROR(VLOOKUP(O52,FxRateTable,4,TRUE),""))</f>
        <v/>
      </c>
      <c r="R52" s="302">
        <f>IF(P52="","",H52)</f>
        <v/>
      </c>
      <c r="S52" s="302" t="n">
        <v>0</v>
      </c>
      <c r="T52" s="302" t="n">
        <v>0</v>
      </c>
      <c r="U52" s="298" t="n"/>
      <c r="V52" s="296" t="inlineStr">
        <is>
          <t>-</t>
        </is>
      </c>
      <c r="W52" s="302" t="n">
        <v>0</v>
      </c>
      <c r="X52" s="297" t="inlineStr">
        <is>
          <t>-</t>
        </is>
      </c>
      <c r="Y52" s="302" t="n">
        <v>0</v>
      </c>
      <c r="Z52" s="302">
        <f>S52+W52</f>
        <v/>
      </c>
      <c r="AA52" s="302">
        <f>K52+L52+M52+IFERROR(VLOOKUP(B52,RemitTable2,9,FALSE),0)+Y52+Z52</f>
        <v/>
      </c>
      <c r="AB52" s="303" t="n">
        <v>1</v>
      </c>
      <c r="AC52" s="302">
        <f>ROUND(AA52/AB52,0)</f>
        <v/>
      </c>
      <c r="AD52" s="296" t="inlineStr">
        <is>
          <t>2025-12</t>
        </is>
      </c>
      <c r="AE52" s="299" t="inlineStr">
        <is>
          <t>2025-12-01</t>
        </is>
      </c>
      <c r="AF52" s="298" t="inlineStr">
        <is>
          <t>2026-11-30</t>
        </is>
      </c>
    </row>
    <row r="53" ht="15.75" customHeight="1">
      <c r="A53" s="296" t="n">
        <v>49</v>
      </c>
      <c r="B53" s="296" t="inlineStr">
        <is>
          <t>CPO681</t>
        </is>
      </c>
      <c r="C53" s="297" t="inlineStr">
        <is>
          <t>Christie</t>
        </is>
      </c>
      <c r="D53" s="296" t="inlineStr">
        <is>
          <t>Net 45 days</t>
        </is>
      </c>
      <c r="E53" s="297" t="inlineStr">
        <is>
          <t>워런티(EW)</t>
        </is>
      </c>
      <c r="F53" s="298" t="n">
        <v>45993</v>
      </c>
      <c r="G53" s="299" t="n">
        <v>46064</v>
      </c>
      <c r="H53" s="300" t="n">
        <v>26358</v>
      </c>
      <c r="I53" s="301" t="n">
        <v>1460.7</v>
      </c>
      <c r="J53" s="302" t="n">
        <v>38501131</v>
      </c>
      <c r="K53" s="302" t="n">
        <v>38501131</v>
      </c>
      <c r="L53" s="302" t="n">
        <v>12500</v>
      </c>
      <c r="M53" s="302" t="n">
        <v>8000</v>
      </c>
      <c r="N53" s="296" t="inlineStr">
        <is>
          <t>EW CP2309/2315/2320-RGB</t>
        </is>
      </c>
      <c r="O53" s="299" t="inlineStr">
        <is>
          <t>-</t>
        </is>
      </c>
      <c r="P53" s="296" t="inlineStr">
        <is>
          <t>-</t>
        </is>
      </c>
      <c r="Q53" s="300">
        <f>IF(P53="","",IFERROR(VLOOKUP(O53,FxRateTable,4,TRUE),""))</f>
        <v/>
      </c>
      <c r="R53" s="302">
        <f>IF(P53="","",H53)</f>
        <v/>
      </c>
      <c r="S53" s="302" t="n">
        <v>0</v>
      </c>
      <c r="T53" s="302" t="n">
        <v>0</v>
      </c>
      <c r="U53" s="298" t="n"/>
      <c r="V53" s="296" t="inlineStr">
        <is>
          <t>-</t>
        </is>
      </c>
      <c r="W53" s="302" t="n">
        <v>0</v>
      </c>
      <c r="X53" s="297" t="inlineStr">
        <is>
          <t>-</t>
        </is>
      </c>
      <c r="Y53" s="302" t="n">
        <v>0</v>
      </c>
      <c r="Z53" s="302">
        <f>S53+W53</f>
        <v/>
      </c>
      <c r="AA53" s="302">
        <f>K53+L53+M53+IFERROR(VLOOKUP(B53,RemitTable2,9,FALSE),0)+Y53+Z53</f>
        <v/>
      </c>
      <c r="AB53" s="303" t="n">
        <v>1</v>
      </c>
      <c r="AC53" s="302">
        <f>ROUND(AA53/AB53,0)</f>
        <v/>
      </c>
      <c r="AD53" s="296" t="inlineStr">
        <is>
          <t>2025-12</t>
        </is>
      </c>
      <c r="AE53" s="299" t="inlineStr">
        <is>
          <t>2025-12-22</t>
        </is>
      </c>
      <c r="AF53" s="298" t="inlineStr">
        <is>
          <t>2026-12-21</t>
        </is>
      </c>
    </row>
    <row r="54" ht="15.75" customHeight="1">
      <c r="A54" s="296" t="n">
        <v>50</v>
      </c>
      <c r="B54" s="296" t="inlineStr">
        <is>
          <t>GPO459</t>
        </is>
      </c>
      <c r="C54" s="297" t="inlineStr">
        <is>
          <t>GDC</t>
        </is>
      </c>
      <c r="D54" s="296" t="inlineStr">
        <is>
          <t>Net 30 days</t>
        </is>
      </c>
      <c r="E54" s="297" t="inlineStr">
        <is>
          <t>워런티(EW)</t>
        </is>
      </c>
      <c r="F54" s="298" t="n">
        <v>46007</v>
      </c>
      <c r="G54" s="299" t="n">
        <v>46043</v>
      </c>
      <c r="H54" s="300" t="n">
        <v>450</v>
      </c>
      <c r="I54" s="301" t="n">
        <v>1475.7</v>
      </c>
      <c r="J54" s="302" t="n">
        <v>664065</v>
      </c>
      <c r="K54" s="302" t="n">
        <v>664065</v>
      </c>
      <c r="L54" s="302" t="n">
        <v>912</v>
      </c>
      <c r="M54" s="302" t="n">
        <v>973</v>
      </c>
      <c r="N54" s="296" t="inlineStr">
        <is>
          <t>TMS-2000 EW</t>
        </is>
      </c>
      <c r="O54" s="299" t="inlineStr">
        <is>
          <t>-</t>
        </is>
      </c>
      <c r="P54" s="296" t="inlineStr">
        <is>
          <t>-</t>
        </is>
      </c>
      <c r="Q54" s="300">
        <f>IF(P54="","",IFERROR(VLOOKUP(O54,FxRateTable,4,TRUE),""))</f>
        <v/>
      </c>
      <c r="R54" s="302">
        <f>IF(P54="","",H54)</f>
        <v/>
      </c>
      <c r="S54" s="302" t="n">
        <v>0</v>
      </c>
      <c r="T54" s="302" t="n">
        <v>0</v>
      </c>
      <c r="U54" s="298" t="n"/>
      <c r="V54" s="296" t="inlineStr">
        <is>
          <t>-</t>
        </is>
      </c>
      <c r="W54" s="302" t="n">
        <v>0</v>
      </c>
      <c r="X54" s="297" t="inlineStr">
        <is>
          <t>-</t>
        </is>
      </c>
      <c r="Y54" s="302" t="n">
        <v>0</v>
      </c>
      <c r="Z54" s="302">
        <f>S54+W54</f>
        <v/>
      </c>
      <c r="AA54" s="302">
        <f>K54+L54+M54+IFERROR(VLOOKUP(B54,RemitTable2,9,FALSE),0)+Y54+Z54</f>
        <v/>
      </c>
      <c r="AB54" s="303" t="n">
        <v>1</v>
      </c>
      <c r="AC54" s="302">
        <f>ROUND(AA54/AB54,0)</f>
        <v/>
      </c>
      <c r="AD54" s="296" t="inlineStr">
        <is>
          <t>2026-01</t>
        </is>
      </c>
      <c r="AE54" s="299" t="inlineStr">
        <is>
          <t>2026-01-01</t>
        </is>
      </c>
      <c r="AF54" s="298" t="inlineStr">
        <is>
          <t>2026-12-31</t>
        </is>
      </c>
    </row>
    <row r="55" ht="15.75" customHeight="1">
      <c r="A55" s="296" t="n">
        <v>51</v>
      </c>
      <c r="B55" s="296" t="inlineStr">
        <is>
          <t>GPO461</t>
        </is>
      </c>
      <c r="C55" s="297" t="inlineStr">
        <is>
          <t>GDC</t>
        </is>
      </c>
      <c r="D55" s="296" t="inlineStr">
        <is>
          <t>Net 30 days</t>
        </is>
      </c>
      <c r="E55" s="297" t="inlineStr">
        <is>
          <t>워런티(EW)</t>
        </is>
      </c>
      <c r="F55" s="298" t="n">
        <v>46007</v>
      </c>
      <c r="G55" s="299" t="n">
        <v>46043</v>
      </c>
      <c r="H55" s="300" t="n">
        <v>540</v>
      </c>
      <c r="I55" s="301" t="n">
        <v>1475.7</v>
      </c>
      <c r="J55" s="302" t="n">
        <v>796878</v>
      </c>
      <c r="K55" s="302" t="n">
        <v>796878</v>
      </c>
      <c r="L55" s="302" t="n">
        <v>1095</v>
      </c>
      <c r="M55" s="302" t="n">
        <v>1168</v>
      </c>
      <c r="N55" s="296" t="inlineStr">
        <is>
          <t>TMS-1000 EW</t>
        </is>
      </c>
      <c r="O55" s="299" t="inlineStr">
        <is>
          <t>-</t>
        </is>
      </c>
      <c r="P55" s="296" t="inlineStr">
        <is>
          <t>-</t>
        </is>
      </c>
      <c r="Q55" s="300">
        <f>IF(P55="","",IFERROR(VLOOKUP(O55,FxRateTable,4,TRUE),""))</f>
        <v/>
      </c>
      <c r="R55" s="302">
        <f>IF(P55="","",H55)</f>
        <v/>
      </c>
      <c r="S55" s="302" t="n">
        <v>0</v>
      </c>
      <c r="T55" s="302" t="n">
        <v>0</v>
      </c>
      <c r="U55" s="298" t="n"/>
      <c r="V55" s="296" t="inlineStr">
        <is>
          <t>-</t>
        </is>
      </c>
      <c r="W55" s="302" t="n">
        <v>0</v>
      </c>
      <c r="X55" s="297" t="inlineStr">
        <is>
          <t>-</t>
        </is>
      </c>
      <c r="Y55" s="302" t="n">
        <v>0</v>
      </c>
      <c r="Z55" s="302">
        <f>S55+W55</f>
        <v/>
      </c>
      <c r="AA55" s="302">
        <f>K55+L55+M55+IFERROR(VLOOKUP(B55,RemitTable2,9,FALSE),0)+Y55+Z55</f>
        <v/>
      </c>
      <c r="AB55" s="303" t="n">
        <v>1</v>
      </c>
      <c r="AC55" s="302">
        <f>ROUND(AA55/AB55,0)</f>
        <v/>
      </c>
      <c r="AD55" s="296" t="inlineStr">
        <is>
          <t>2025-11</t>
        </is>
      </c>
      <c r="AE55" s="299" t="inlineStr">
        <is>
          <t>2025-11-01</t>
        </is>
      </c>
      <c r="AF55" s="298" t="inlineStr">
        <is>
          <t>2026-10-30</t>
        </is>
      </c>
    </row>
    <row r="56" ht="15.75" customHeight="1">
      <c r="A56" s="296" t="n">
        <v>52</v>
      </c>
      <c r="B56" s="296" t="inlineStr">
        <is>
          <t>CPO685</t>
        </is>
      </c>
      <c r="C56" s="297" t="inlineStr">
        <is>
          <t>Christie</t>
        </is>
      </c>
      <c r="D56" s="296" t="inlineStr">
        <is>
          <t>Net 45 days</t>
        </is>
      </c>
      <c r="E56" s="297" t="inlineStr">
        <is>
          <t>워런티(EW)</t>
        </is>
      </c>
      <c r="F56" s="298" t="n">
        <v>46010</v>
      </c>
      <c r="G56" s="299" t="n">
        <v>46080</v>
      </c>
      <c r="H56" s="300" t="n">
        <v>136516</v>
      </c>
      <c r="I56" s="301" t="n">
        <v>1441.6</v>
      </c>
      <c r="J56" s="302" t="n">
        <v>196801466</v>
      </c>
      <c r="K56" s="302" t="n">
        <v>196801466</v>
      </c>
      <c r="L56" s="302" t="n">
        <v>12001</v>
      </c>
      <c r="M56" s="302" t="n">
        <v>7681</v>
      </c>
      <c r="N56" s="296" t="inlineStr">
        <is>
          <t>EW 대량 (CP2208~CP4450)</t>
        </is>
      </c>
      <c r="O56" s="299" t="inlineStr">
        <is>
          <t>-</t>
        </is>
      </c>
      <c r="P56" s="296" t="inlineStr">
        <is>
          <t>-</t>
        </is>
      </c>
      <c r="Q56" s="300">
        <f>IF(P56="","",IFERROR(VLOOKUP(O56,FxRateTable,4,TRUE),""))</f>
        <v/>
      </c>
      <c r="R56" s="302">
        <f>IF(P56="","",H56)</f>
        <v/>
      </c>
      <c r="S56" s="302" t="n">
        <v>0</v>
      </c>
      <c r="T56" s="302" t="n">
        <v>0</v>
      </c>
      <c r="U56" s="298" t="n"/>
      <c r="V56" s="296" t="inlineStr">
        <is>
          <t>-</t>
        </is>
      </c>
      <c r="W56" s="302" t="n">
        <v>0</v>
      </c>
      <c r="X56" s="297" t="inlineStr">
        <is>
          <t>-</t>
        </is>
      </c>
      <c r="Y56" s="302" t="n">
        <v>0</v>
      </c>
      <c r="Z56" s="302">
        <f>S56+W56</f>
        <v/>
      </c>
      <c r="AA56" s="302">
        <f>K56+L56+M56+IFERROR(VLOOKUP(B56,RemitTable2,9,FALSE),0)+Y56+Z56</f>
        <v/>
      </c>
      <c r="AB56" s="303" t="n">
        <v>1</v>
      </c>
      <c r="AC56" s="302">
        <f>ROUND(AA56/AB56,0)</f>
        <v/>
      </c>
      <c r="AD56" s="296" t="inlineStr">
        <is>
          <t>2026-01</t>
        </is>
      </c>
      <c r="AE56" s="299" t="inlineStr">
        <is>
          <t>2026-01-01</t>
        </is>
      </c>
      <c r="AF56" s="298" t="inlineStr">
        <is>
          <t>2026-12-31</t>
        </is>
      </c>
    </row>
    <row r="57" ht="15.75" customHeight="1">
      <c r="A57" s="296" t="n">
        <v>53</v>
      </c>
      <c r="B57" s="296" t="inlineStr">
        <is>
          <t>GPO465</t>
        </is>
      </c>
      <c r="C57" s="297" t="inlineStr">
        <is>
          <t>GDC</t>
        </is>
      </c>
      <c r="D57" s="296" t="inlineStr">
        <is>
          <t>Net 30 days</t>
        </is>
      </c>
      <c r="E57" s="297" t="inlineStr">
        <is>
          <t>워런티(EW)</t>
        </is>
      </c>
      <c r="F57" s="298" t="n">
        <v>46015</v>
      </c>
      <c r="G57" s="299" t="inlineStr">
        <is>
          <t>-</t>
        </is>
      </c>
      <c r="H57" s="300" t="n">
        <v>76054</v>
      </c>
      <c r="I57" s="301">
        <f>IFERROR(VLOOKUP(B57,RemitTable2,7,FALSE),0)</f>
        <v/>
      </c>
      <c r="J57" s="302" t="n">
        <v>0</v>
      </c>
      <c r="K57" s="302">
        <f>IFERROR(ROUND(H57*I57,0),0)</f>
        <v/>
      </c>
      <c r="L57" s="302">
        <f>IFERROR(VLOOKUP(B57,RemitTable2,10,FALSE),0)</f>
        <v/>
      </c>
      <c r="M57" s="302">
        <f>IFERROR(VLOOKUP(B57,RemitTable2,11,FALSE),0)</f>
        <v/>
      </c>
      <c r="N57" s="296" t="inlineStr">
        <is>
          <t>EW 대량 (SR/SX/TMS)</t>
        </is>
      </c>
      <c r="O57" s="299" t="inlineStr">
        <is>
          <t>-</t>
        </is>
      </c>
      <c r="P57" s="296" t="inlineStr">
        <is>
          <t>-</t>
        </is>
      </c>
      <c r="Q57" s="300">
        <f>IF(P57="","",IFERROR(VLOOKUP(O57,FxRateTable,4,TRUE),""))</f>
        <v/>
      </c>
      <c r="R57" s="302">
        <f>IF(P57="","",H57)</f>
        <v/>
      </c>
      <c r="S57" s="302" t="n">
        <v>0</v>
      </c>
      <c r="T57" s="302" t="n">
        <v>0</v>
      </c>
      <c r="U57" s="298" t="n"/>
      <c r="V57" s="296" t="inlineStr">
        <is>
          <t>-</t>
        </is>
      </c>
      <c r="W57" s="302" t="n">
        <v>0</v>
      </c>
      <c r="X57" s="297" t="inlineStr">
        <is>
          <t>-</t>
        </is>
      </c>
      <c r="Y57" s="302" t="n">
        <v>0</v>
      </c>
      <c r="Z57" s="302">
        <f>S57+W57</f>
        <v/>
      </c>
      <c r="AA57" s="302">
        <f>K57+L57+M57+IFERROR(VLOOKUP(B57,RemitTable2,9,FALSE),0)+Y57+Z57</f>
        <v/>
      </c>
      <c r="AB57" s="303" t="n">
        <v>1</v>
      </c>
      <c r="AC57" s="302">
        <f>ROUND(AA57/AB57,0)</f>
        <v/>
      </c>
      <c r="AD57" s="296" t="inlineStr">
        <is>
          <t>2026-01</t>
        </is>
      </c>
      <c r="AE57" s="299" t="inlineStr">
        <is>
          <t>2026-01-01</t>
        </is>
      </c>
      <c r="AF57" s="298" t="inlineStr">
        <is>
          <t>2026-12-31</t>
        </is>
      </c>
    </row>
    <row r="58" ht="15.75" customHeight="1">
      <c r="A58" s="296" t="n">
        <v>54</v>
      </c>
      <c r="B58" s="296" t="inlineStr">
        <is>
          <t>CPO686</t>
        </is>
      </c>
      <c r="C58" s="297" t="inlineStr">
        <is>
          <t>Christie</t>
        </is>
      </c>
      <c r="D58" s="296" t="inlineStr">
        <is>
          <t>Net 45 days</t>
        </is>
      </c>
      <c r="E58" s="297" t="inlineStr">
        <is>
          <t>워런티(EW)</t>
        </is>
      </c>
      <c r="F58" s="298" t="n">
        <v>46029</v>
      </c>
      <c r="G58" s="299" t="n">
        <v>46072</v>
      </c>
      <c r="H58" s="300" t="n">
        <v>14793</v>
      </c>
      <c r="I58" s="301" t="n">
        <v>1451.7</v>
      </c>
      <c r="J58" s="302" t="n">
        <v>21474998</v>
      </c>
      <c r="K58" s="302" t="n">
        <v>21474998</v>
      </c>
      <c r="L58" s="302" t="n">
        <v>8435</v>
      </c>
      <c r="M58" s="302" t="n">
        <v>6748</v>
      </c>
      <c r="N58" s="296" t="inlineStr">
        <is>
          <t>EW CP2315/CP4440-RGB</t>
        </is>
      </c>
      <c r="O58" s="299" t="inlineStr">
        <is>
          <t>-</t>
        </is>
      </c>
      <c r="P58" s="296" t="inlineStr">
        <is>
          <t>-</t>
        </is>
      </c>
      <c r="Q58" s="300">
        <f>IF(P58="","",IFERROR(VLOOKUP(O58,FxRateTable,4,TRUE),""))</f>
        <v/>
      </c>
      <c r="R58" s="302">
        <f>IF(P58="","",H58)</f>
        <v/>
      </c>
      <c r="S58" s="302" t="n">
        <v>0</v>
      </c>
      <c r="T58" s="302" t="n">
        <v>0</v>
      </c>
      <c r="U58" s="298" t="n"/>
      <c r="V58" s="296" t="inlineStr">
        <is>
          <t>-</t>
        </is>
      </c>
      <c r="W58" s="302" t="n">
        <v>0</v>
      </c>
      <c r="X58" s="297" t="inlineStr">
        <is>
          <t>-</t>
        </is>
      </c>
      <c r="Y58" s="302" t="n">
        <v>0</v>
      </c>
      <c r="Z58" s="302">
        <f>S58+W58</f>
        <v/>
      </c>
      <c r="AA58" s="302">
        <f>K58+L58+M58+IFERROR(VLOOKUP(B58,RemitTable2,9,FALSE),0)+Y58+Z58</f>
        <v/>
      </c>
      <c r="AB58" s="303" t="n">
        <v>1</v>
      </c>
      <c r="AC58" s="302">
        <f>ROUND(AA58/AB58,0)</f>
        <v/>
      </c>
      <c r="AD58" s="296" t="inlineStr">
        <is>
          <t>2026-01</t>
        </is>
      </c>
      <c r="AE58" s="299" t="inlineStr">
        <is>
          <t>2026-01-30</t>
        </is>
      </c>
      <c r="AF58" s="298" t="inlineStr">
        <is>
          <t>2027-01-29</t>
        </is>
      </c>
    </row>
    <row r="59" ht="15.75" customHeight="1">
      <c r="A59" s="296" t="n">
        <v>55</v>
      </c>
      <c r="B59" s="296" t="inlineStr">
        <is>
          <t>CPO687</t>
        </is>
      </c>
      <c r="C59" s="297" t="inlineStr">
        <is>
          <t>Christie</t>
        </is>
      </c>
      <c r="D59" s="296" t="inlineStr">
        <is>
          <t>Net 45 days</t>
        </is>
      </c>
      <c r="E59" s="297" t="inlineStr">
        <is>
          <t>워런티(EW)</t>
        </is>
      </c>
      <c r="F59" s="298" t="n">
        <v>46029</v>
      </c>
      <c r="G59" s="299" t="inlineStr">
        <is>
          <t>-</t>
        </is>
      </c>
      <c r="H59" s="300" t="n">
        <v>26656</v>
      </c>
      <c r="I59" s="301">
        <f>IFERROR(VLOOKUP(B59,RemitTable2,7,FALSE),0)</f>
        <v/>
      </c>
      <c r="J59" s="302" t="n">
        <v>0</v>
      </c>
      <c r="K59" s="302">
        <f>IFERROR(ROUND(H59*I59,0),0)</f>
        <v/>
      </c>
      <c r="L59" s="302">
        <f>IFERROR(VLOOKUP(B59,RemitTable2,10,FALSE),0)</f>
        <v/>
      </c>
      <c r="M59" s="302">
        <f>IFERROR(VLOOKUP(B59,RemitTable2,11,FALSE),0)</f>
        <v/>
      </c>
      <c r="N59" s="296" t="inlineStr">
        <is>
          <t>EW (홀딩)</t>
        </is>
      </c>
      <c r="O59" s="299" t="inlineStr">
        <is>
          <t>-</t>
        </is>
      </c>
      <c r="P59" s="296" t="inlineStr">
        <is>
          <t>-</t>
        </is>
      </c>
      <c r="Q59" s="300">
        <f>IF(P59="","",IFERROR(VLOOKUP(O59,FxRateTable,4,TRUE),""))</f>
        <v/>
      </c>
      <c r="R59" s="302">
        <f>IF(P59="","",H59)</f>
        <v/>
      </c>
      <c r="S59" s="302" t="n">
        <v>0</v>
      </c>
      <c r="T59" s="302" t="n">
        <v>0</v>
      </c>
      <c r="U59" s="298" t="n"/>
      <c r="V59" s="296" t="inlineStr">
        <is>
          <t>-</t>
        </is>
      </c>
      <c r="W59" s="302" t="n">
        <v>0</v>
      </c>
      <c r="X59" s="297" t="inlineStr">
        <is>
          <t>-</t>
        </is>
      </c>
      <c r="Y59" s="302" t="n">
        <v>0</v>
      </c>
      <c r="Z59" s="302">
        <f>S59+W59</f>
        <v/>
      </c>
      <c r="AA59" s="302">
        <f>K59+L59+M59+IFERROR(VLOOKUP(B59,RemitTable2,9,FALSE),0)+Y59+Z59</f>
        <v/>
      </c>
      <c r="AB59" s="303" t="n">
        <v>1</v>
      </c>
      <c r="AC59" s="302">
        <f>ROUND(AA59/AB59,0)</f>
        <v/>
      </c>
      <c r="AD59" s="296" t="inlineStr">
        <is>
          <t>2026-01</t>
        </is>
      </c>
      <c r="AE59" s="299" t="inlineStr">
        <is>
          <t>-</t>
        </is>
      </c>
      <c r="AF59" s="298" t="inlineStr">
        <is>
          <t>-</t>
        </is>
      </c>
    </row>
    <row r="60" ht="15.75" customHeight="1">
      <c r="A60" s="296" t="n">
        <v>56</v>
      </c>
      <c r="B60" s="296" t="inlineStr">
        <is>
          <t>GPO462</t>
        </is>
      </c>
      <c r="C60" s="297" t="inlineStr">
        <is>
          <t>GDC</t>
        </is>
      </c>
      <c r="D60" s="296" t="inlineStr">
        <is>
          <t>Net 30 days</t>
        </is>
      </c>
      <c r="E60" s="297" t="inlineStr">
        <is>
          <t>라이센스</t>
        </is>
      </c>
      <c r="F60" s="298" t="n">
        <v>46042</v>
      </c>
      <c r="G60" s="299" t="n">
        <v>46057</v>
      </c>
      <c r="H60" s="300" t="n">
        <v>1440</v>
      </c>
      <c r="I60" s="301" t="n">
        <v>1453.6</v>
      </c>
      <c r="J60" s="302" t="n">
        <v>2093184</v>
      </c>
      <c r="K60" s="302" t="n">
        <v>2093184</v>
      </c>
      <c r="L60" s="302" t="n">
        <v>1241</v>
      </c>
      <c r="M60" s="302" t="n">
        <v>993</v>
      </c>
      <c r="N60" s="296" t="inlineStr">
        <is>
          <t>TMS-2000 License</t>
        </is>
      </c>
      <c r="O60" s="299" t="inlineStr">
        <is>
          <t>-</t>
        </is>
      </c>
      <c r="P60" s="296" t="inlineStr">
        <is>
          <t>-</t>
        </is>
      </c>
      <c r="Q60" s="300">
        <f>IF(P60="","",IFERROR(VLOOKUP(O60,FxRateTable,4,TRUE),""))</f>
        <v/>
      </c>
      <c r="R60" s="302">
        <f>IF(P60="","",H60)</f>
        <v/>
      </c>
      <c r="S60" s="302" t="n">
        <v>0</v>
      </c>
      <c r="T60" s="302" t="n">
        <v>0</v>
      </c>
      <c r="U60" s="298" t="n"/>
      <c r="V60" s="296" t="inlineStr">
        <is>
          <t>-</t>
        </is>
      </c>
      <c r="W60" s="302" t="n">
        <v>0</v>
      </c>
      <c r="X60" s="297" t="inlineStr">
        <is>
          <t>-</t>
        </is>
      </c>
      <c r="Y60" s="302" t="n">
        <v>0</v>
      </c>
      <c r="Z60" s="302">
        <f>S60+W60</f>
        <v/>
      </c>
      <c r="AA60" s="302">
        <f>K60+L60+M60+IFERROR(VLOOKUP(B60,RemitTable2,9,FALSE),0)+Y60+Z60</f>
        <v/>
      </c>
      <c r="AB60" s="303" t="n">
        <v>1</v>
      </c>
      <c r="AC60" s="302">
        <f>ROUND(AA60/AB60,0)</f>
        <v/>
      </c>
      <c r="AD60" s="296" t="inlineStr">
        <is>
          <t>2026-01</t>
        </is>
      </c>
      <c r="AE60" s="299" t="inlineStr">
        <is>
          <t>2026-01-01</t>
        </is>
      </c>
      <c r="AF60" s="298" t="inlineStr">
        <is>
          <t>2026-12-31</t>
        </is>
      </c>
    </row>
    <row r="61" ht="15.75" customHeight="1">
      <c r="A61" s="296" t="n">
        <v>57</v>
      </c>
      <c r="B61" s="296" t="inlineStr">
        <is>
          <t>GPO463</t>
        </is>
      </c>
      <c r="C61" s="297" t="inlineStr">
        <is>
          <t>GDC</t>
        </is>
      </c>
      <c r="D61" s="296" t="inlineStr">
        <is>
          <t>Net 30 days</t>
        </is>
      </c>
      <c r="E61" s="297" t="inlineStr">
        <is>
          <t>워런티(EW)</t>
        </is>
      </c>
      <c r="F61" s="298" t="n">
        <v>46042</v>
      </c>
      <c r="G61" s="299" t="n">
        <v>46057</v>
      </c>
      <c r="H61" s="300" t="n">
        <v>4489</v>
      </c>
      <c r="I61" s="301" t="n">
        <v>1453.6</v>
      </c>
      <c r="J61" s="302" t="n">
        <v>6525210</v>
      </c>
      <c r="K61" s="302" t="n">
        <v>6525210</v>
      </c>
      <c r="L61" s="302" t="n">
        <v>3870</v>
      </c>
      <c r="M61" s="302" t="n">
        <v>3096</v>
      </c>
      <c r="N61" s="296" t="inlineStr">
        <is>
          <t>SX/SR EW (CGV/Lotte)</t>
        </is>
      </c>
      <c r="O61" s="299" t="inlineStr">
        <is>
          <t>-</t>
        </is>
      </c>
      <c r="P61" s="296" t="inlineStr">
        <is>
          <t>-</t>
        </is>
      </c>
      <c r="Q61" s="300">
        <f>IF(P61="","",IFERROR(VLOOKUP(O61,FxRateTable,4,TRUE),""))</f>
        <v/>
      </c>
      <c r="R61" s="302">
        <f>IF(P61="","",H61)</f>
        <v/>
      </c>
      <c r="S61" s="302" t="n">
        <v>0</v>
      </c>
      <c r="T61" s="302" t="n">
        <v>0</v>
      </c>
      <c r="U61" s="298" t="n"/>
      <c r="V61" s="296" t="inlineStr">
        <is>
          <t>-</t>
        </is>
      </c>
      <c r="W61" s="302" t="n">
        <v>0</v>
      </c>
      <c r="X61" s="297" t="inlineStr">
        <is>
          <t>-</t>
        </is>
      </c>
      <c r="Y61" s="302" t="n">
        <v>0</v>
      </c>
      <c r="Z61" s="302">
        <f>S61+W61</f>
        <v/>
      </c>
      <c r="AA61" s="302">
        <f>K61+L61+M61+IFERROR(VLOOKUP(B61,RemitTable2,9,FALSE),0)+Y61+Z61</f>
        <v/>
      </c>
      <c r="AB61" s="303" t="n">
        <v>1</v>
      </c>
      <c r="AC61" s="302">
        <f>ROUND(AA61/AB61,0)</f>
        <v/>
      </c>
      <c r="AD61" s="296" t="inlineStr">
        <is>
          <t>2026-01</t>
        </is>
      </c>
      <c r="AE61" s="299" t="inlineStr">
        <is>
          <t>2026-01-01</t>
        </is>
      </c>
      <c r="AF61" s="298" t="inlineStr">
        <is>
          <t>2026-12-31</t>
        </is>
      </c>
    </row>
    <row r="62" ht="15.75" customHeight="1">
      <c r="A62" s="296" t="n">
        <v>58</v>
      </c>
      <c r="B62" s="296" t="inlineStr">
        <is>
          <t>GPO464</t>
        </is>
      </c>
      <c r="C62" s="297" t="inlineStr">
        <is>
          <t>GDC</t>
        </is>
      </c>
      <c r="D62" s="296" t="inlineStr">
        <is>
          <t>Net 30 days</t>
        </is>
      </c>
      <c r="E62" s="297" t="inlineStr">
        <is>
          <t>워런티(EW)</t>
        </is>
      </c>
      <c r="F62" s="298" t="n">
        <v>46042</v>
      </c>
      <c r="G62" s="299" t="n">
        <v>46057</v>
      </c>
      <c r="H62" s="300" t="n">
        <v>5670.57</v>
      </c>
      <c r="I62" s="301" t="n">
        <v>1453.6</v>
      </c>
      <c r="J62" s="302" t="n">
        <v>8242741</v>
      </c>
      <c r="K62" s="302" t="n">
        <v>8242741</v>
      </c>
      <c r="L62" s="302" t="n">
        <v>4889</v>
      </c>
      <c r="M62" s="302" t="n">
        <v>3911</v>
      </c>
      <c r="N62" s="296" t="inlineStr">
        <is>
          <t>SR-1000/SX-3000 EW</t>
        </is>
      </c>
      <c r="O62" s="299" t="inlineStr">
        <is>
          <t>-</t>
        </is>
      </c>
      <c r="P62" s="296" t="inlineStr">
        <is>
          <t>-</t>
        </is>
      </c>
      <c r="Q62" s="300">
        <f>IF(P62="","",IFERROR(VLOOKUP(O62,FxRateTable,4,TRUE),""))</f>
        <v/>
      </c>
      <c r="R62" s="302">
        <f>IF(P62="","",H62)</f>
        <v/>
      </c>
      <c r="S62" s="302" t="n">
        <v>0</v>
      </c>
      <c r="T62" s="302" t="n">
        <v>0</v>
      </c>
      <c r="U62" s="298" t="n"/>
      <c r="V62" s="296" t="inlineStr">
        <is>
          <t>-</t>
        </is>
      </c>
      <c r="W62" s="302" t="n">
        <v>0</v>
      </c>
      <c r="X62" s="297" t="inlineStr">
        <is>
          <t>-</t>
        </is>
      </c>
      <c r="Y62" s="302" t="n">
        <v>0</v>
      </c>
      <c r="Z62" s="302">
        <f>S62+W62</f>
        <v/>
      </c>
      <c r="AA62" s="302">
        <f>K62+L62+M62+IFERROR(VLOOKUP(B62,RemitTable2,9,FALSE),0)+Y62+Z62</f>
        <v/>
      </c>
      <c r="AB62" s="303" t="n">
        <v>1</v>
      </c>
      <c r="AC62" s="302">
        <f>ROUND(AA62/AB62,0)</f>
        <v/>
      </c>
      <c r="AD62" s="296" t="inlineStr">
        <is>
          <t>2026-01</t>
        </is>
      </c>
      <c r="AE62" s="299" t="inlineStr">
        <is>
          <t>2026-01-01</t>
        </is>
      </c>
      <c r="AF62" s="298" t="inlineStr">
        <is>
          <t>2026-12-31</t>
        </is>
      </c>
    </row>
    <row r="63" ht="15.75" customHeight="1">
      <c r="A63" s="296" t="n">
        <v>59</v>
      </c>
      <c r="B63" s="296" t="inlineStr">
        <is>
          <t>CPO691</t>
        </is>
      </c>
      <c r="C63" s="297" t="inlineStr">
        <is>
          <t>Christie</t>
        </is>
      </c>
      <c r="D63" s="296" t="inlineStr">
        <is>
          <t>Net 45 days</t>
        </is>
      </c>
      <c r="E63" s="297" t="inlineStr">
        <is>
          <t>워런티(EW)</t>
        </is>
      </c>
      <c r="F63" s="298" t="n">
        <v>46057</v>
      </c>
      <c r="G63" s="299" t="n">
        <v>46113</v>
      </c>
      <c r="H63" s="300" t="n">
        <v>24614</v>
      </c>
      <c r="I63" s="301" t="n">
        <v>1505.7</v>
      </c>
      <c r="J63" s="302" t="n">
        <v>37061300</v>
      </c>
      <c r="K63" s="302" t="n">
        <v>37061300</v>
      </c>
      <c r="L63" s="302" t="n">
        <v>8956</v>
      </c>
      <c r="M63" s="302" t="n">
        <v>5732</v>
      </c>
      <c r="N63" s="296" t="inlineStr">
        <is>
          <t>EW (메가박스 외)</t>
        </is>
      </c>
      <c r="O63" s="299" t="inlineStr">
        <is>
          <t>-</t>
        </is>
      </c>
      <c r="P63" s="296" t="inlineStr">
        <is>
          <t>-</t>
        </is>
      </c>
      <c r="Q63" s="300">
        <f>IF(P63="","",IFERROR(VLOOKUP(O63,FxRateTable,4,TRUE),""))</f>
        <v/>
      </c>
      <c r="R63" s="302">
        <f>IF(P63="","",H63)</f>
        <v/>
      </c>
      <c r="S63" s="302" t="n">
        <v>0</v>
      </c>
      <c r="T63" s="302" t="n">
        <v>0</v>
      </c>
      <c r="U63" s="298" t="n"/>
      <c r="V63" s="296" t="inlineStr">
        <is>
          <t>-</t>
        </is>
      </c>
      <c r="W63" s="302" t="n">
        <v>0</v>
      </c>
      <c r="X63" s="297" t="inlineStr">
        <is>
          <t>-</t>
        </is>
      </c>
      <c r="Y63" s="302" t="n">
        <v>0</v>
      </c>
      <c r="Z63" s="302">
        <f>S63+W63</f>
        <v/>
      </c>
      <c r="AA63" s="302">
        <f>K63+L63+M63+IFERROR(VLOOKUP(B63,RemitTable2,9,FALSE),0)+Y63+Z63</f>
        <v/>
      </c>
      <c r="AB63" s="303" t="n">
        <v>1</v>
      </c>
      <c r="AC63" s="302">
        <f>ROUND(AA63/AB63,0)</f>
        <v/>
      </c>
      <c r="AD63" s="296" t="inlineStr">
        <is>
          <t>2026-03</t>
        </is>
      </c>
      <c r="AE63" s="299" t="inlineStr">
        <is>
          <t>2026-03-01</t>
        </is>
      </c>
      <c r="AF63" s="298" t="inlineStr">
        <is>
          <t>2027-02-28</t>
        </is>
      </c>
    </row>
    <row r="64" ht="15.75" customHeight="1">
      <c r="A64" s="296" t="n">
        <v>60</v>
      </c>
      <c r="B64" s="296" t="inlineStr">
        <is>
          <t>GPO469</t>
        </is>
      </c>
      <c r="C64" s="297" t="inlineStr">
        <is>
          <t>GDC</t>
        </is>
      </c>
      <c r="D64" s="296" t="inlineStr">
        <is>
          <t>Net 30 days</t>
        </is>
      </c>
      <c r="E64" s="297" t="inlineStr">
        <is>
          <t>워런티(EW)</t>
        </is>
      </c>
      <c r="F64" s="298" t="n">
        <v>46060</v>
      </c>
      <c r="G64" s="299" t="n">
        <v>46113</v>
      </c>
      <c r="H64" s="300" t="n">
        <v>3993.05</v>
      </c>
      <c r="I64" s="301" t="n">
        <v>1506.4</v>
      </c>
      <c r="J64" s="302" t="n">
        <v>6015131</v>
      </c>
      <c r="K64" s="302" t="n">
        <v>6015131</v>
      </c>
      <c r="L64" s="302" t="n">
        <v>6093</v>
      </c>
      <c r="M64" s="302" t="n">
        <v>4875</v>
      </c>
      <c r="N64" s="296" t="inlineStr">
        <is>
          <t>SR/SX EW (하남미사 외)</t>
        </is>
      </c>
      <c r="O64" s="299" t="inlineStr">
        <is>
          <t>-</t>
        </is>
      </c>
      <c r="P64" s="296" t="inlineStr">
        <is>
          <t>-</t>
        </is>
      </c>
      <c r="Q64" s="300">
        <f>IF(P64="","",IFERROR(VLOOKUP(O64,FxRateTable,4,TRUE),""))</f>
        <v/>
      </c>
      <c r="R64" s="302">
        <f>IF(P64="","",H64)</f>
        <v/>
      </c>
      <c r="S64" s="302" t="n">
        <v>0</v>
      </c>
      <c r="T64" s="302" t="n">
        <v>0</v>
      </c>
      <c r="U64" s="298" t="n"/>
      <c r="V64" s="296" t="inlineStr">
        <is>
          <t>-</t>
        </is>
      </c>
      <c r="W64" s="302" t="n">
        <v>0</v>
      </c>
      <c r="X64" s="297" t="inlineStr">
        <is>
          <t>-</t>
        </is>
      </c>
      <c r="Y64" s="302" t="n">
        <v>0</v>
      </c>
      <c r="Z64" s="302">
        <f>S64+W64</f>
        <v/>
      </c>
      <c r="AA64" s="302">
        <f>K64+L64+M64+IFERROR(VLOOKUP(B64,RemitTable2,9,FALSE),0)+Y64+Z64</f>
        <v/>
      </c>
      <c r="AB64" s="303" t="n">
        <v>1</v>
      </c>
      <c r="AC64" s="302">
        <f>ROUND(AA64/AB64,0)</f>
        <v/>
      </c>
      <c r="AD64" s="296" t="inlineStr">
        <is>
          <t>2026-01</t>
        </is>
      </c>
      <c r="AE64" s="299" t="inlineStr">
        <is>
          <t>2026-01-01</t>
        </is>
      </c>
      <c r="AF64" s="298" t="inlineStr">
        <is>
          <t>2027-02-22</t>
        </is>
      </c>
    </row>
    <row r="65" ht="15.75" customHeight="1">
      <c r="A65" s="296" t="n">
        <v>61</v>
      </c>
      <c r="B65" s="296" t="inlineStr">
        <is>
          <t>GPO470</t>
        </is>
      </c>
      <c r="C65" s="297" t="inlineStr">
        <is>
          <t>GDC</t>
        </is>
      </c>
      <c r="D65" s="296" t="inlineStr">
        <is>
          <t>Net 30 days</t>
        </is>
      </c>
      <c r="E65" s="297" t="inlineStr">
        <is>
          <t>라이센스</t>
        </is>
      </c>
      <c r="F65" s="298" t="n">
        <v>46080</v>
      </c>
      <c r="G65" s="299" t="n">
        <v>46113</v>
      </c>
      <c r="H65" s="300" t="n">
        <v>360</v>
      </c>
      <c r="I65" s="301" t="n">
        <v>1506.4</v>
      </c>
      <c r="J65" s="302" t="n">
        <v>542304</v>
      </c>
      <c r="K65" s="302" t="n">
        <v>542304</v>
      </c>
      <c r="L65" s="302" t="n">
        <v>549</v>
      </c>
      <c r="M65" s="302" t="n">
        <v>439</v>
      </c>
      <c r="N65" s="296" t="inlineStr">
        <is>
          <t>TMS-1000 License</t>
        </is>
      </c>
      <c r="O65" s="299" t="inlineStr">
        <is>
          <t>-</t>
        </is>
      </c>
      <c r="P65" s="296" t="inlineStr">
        <is>
          <t>-</t>
        </is>
      </c>
      <c r="Q65" s="300">
        <f>IF(P65="","",IFERROR(VLOOKUP(O65,FxRateTable,4,TRUE),""))</f>
        <v/>
      </c>
      <c r="R65" s="302">
        <f>IF(P65="","",H65)</f>
        <v/>
      </c>
      <c r="S65" s="302" t="n">
        <v>0</v>
      </c>
      <c r="T65" s="302" t="n">
        <v>0</v>
      </c>
      <c r="U65" s="298" t="n"/>
      <c r="V65" s="296" t="inlineStr">
        <is>
          <t>-</t>
        </is>
      </c>
      <c r="W65" s="302" t="n">
        <v>0</v>
      </c>
      <c r="X65" s="297" t="inlineStr">
        <is>
          <t>-</t>
        </is>
      </c>
      <c r="Y65" s="302" t="n">
        <v>0</v>
      </c>
      <c r="Z65" s="302">
        <f>S65+W65</f>
        <v/>
      </c>
      <c r="AA65" s="302">
        <f>K65+L65+M65+IFERROR(VLOOKUP(B65,RemitTable2,9,FALSE),0)+Y65+Z65</f>
        <v/>
      </c>
      <c r="AB65" s="303" t="n">
        <v>1</v>
      </c>
      <c r="AC65" s="302">
        <f>ROUND(AA65/AB65,0)</f>
        <v/>
      </c>
      <c r="AD65" s="296" t="inlineStr">
        <is>
          <t>2026-03</t>
        </is>
      </c>
      <c r="AE65" s="299" t="inlineStr">
        <is>
          <t>2026-03-01</t>
        </is>
      </c>
      <c r="AF65" s="298" t="inlineStr">
        <is>
          <t>2027-02-28</t>
        </is>
      </c>
    </row>
    <row r="66" ht="15.75" customHeight="1">
      <c r="A66" s="296" t="n">
        <v>62</v>
      </c>
      <c r="B66" s="296" t="inlineStr">
        <is>
          <t>GPO471</t>
        </is>
      </c>
      <c r="C66" s="297" t="inlineStr">
        <is>
          <t>GDC</t>
        </is>
      </c>
      <c r="D66" s="296" t="inlineStr">
        <is>
          <t>Net 30 days</t>
        </is>
      </c>
      <c r="E66" s="297" t="inlineStr">
        <is>
          <t>라이센스</t>
        </is>
      </c>
      <c r="F66" s="298" t="n">
        <v>46088</v>
      </c>
      <c r="G66" s="299" t="n">
        <v>46113</v>
      </c>
      <c r="H66" s="300" t="n">
        <v>500</v>
      </c>
      <c r="I66" s="301" t="n">
        <v>1506.4</v>
      </c>
      <c r="J66" s="302" t="n">
        <v>753200</v>
      </c>
      <c r="K66" s="302" t="n">
        <v>753200</v>
      </c>
      <c r="L66" s="302" t="n">
        <v>763</v>
      </c>
      <c r="M66" s="302" t="n">
        <v>610</v>
      </c>
      <c r="N66" s="296" t="inlineStr">
        <is>
          <t>Dolby Atmos License</t>
        </is>
      </c>
      <c r="O66" s="299" t="inlineStr">
        <is>
          <t>-</t>
        </is>
      </c>
      <c r="P66" s="296" t="inlineStr">
        <is>
          <t>-</t>
        </is>
      </c>
      <c r="Q66" s="300">
        <f>IF(P66="","",IFERROR(VLOOKUP(O66,FxRateTable,4,TRUE),""))</f>
        <v/>
      </c>
      <c r="R66" s="302">
        <f>IF(P66="","",H66)</f>
        <v/>
      </c>
      <c r="S66" s="302" t="n">
        <v>0</v>
      </c>
      <c r="T66" s="302" t="n">
        <v>0</v>
      </c>
      <c r="U66" s="298" t="n"/>
      <c r="V66" s="296" t="inlineStr">
        <is>
          <t>-</t>
        </is>
      </c>
      <c r="W66" s="302" t="n">
        <v>0</v>
      </c>
      <c r="X66" s="297" t="inlineStr">
        <is>
          <t>-</t>
        </is>
      </c>
      <c r="Y66" s="302" t="n">
        <v>0</v>
      </c>
      <c r="Z66" s="302">
        <f>S66+W66</f>
        <v/>
      </c>
      <c r="AA66" s="302">
        <f>K66+L66+M66+IFERROR(VLOOKUP(B66,RemitTable2,9,FALSE),0)+Y66+Z66</f>
        <v/>
      </c>
      <c r="AB66" s="303" t="n">
        <v>1</v>
      </c>
      <c r="AC66" s="302">
        <f>ROUND(AA66/AB66,0)</f>
        <v/>
      </c>
      <c r="AD66" s="296" t="inlineStr">
        <is>
          <t>2026-03</t>
        </is>
      </c>
      <c r="AE66" s="299" t="inlineStr">
        <is>
          <t>-</t>
        </is>
      </c>
      <c r="AF66" s="298" t="inlineStr">
        <is>
          <t>-</t>
        </is>
      </c>
    </row>
    <row r="67" ht="15.75" customHeight="1">
      <c r="A67" s="296" t="n">
        <v>63</v>
      </c>
      <c r="B67" s="296" t="inlineStr">
        <is>
          <t>CPO694</t>
        </is>
      </c>
      <c r="C67" s="297" t="inlineStr">
        <is>
          <t>Christie</t>
        </is>
      </c>
      <c r="D67" s="296" t="inlineStr">
        <is>
          <t>Net 45 days</t>
        </is>
      </c>
      <c r="E67" s="297" t="inlineStr">
        <is>
          <t>워런티(EW)</t>
        </is>
      </c>
      <c r="F67" s="298" t="n">
        <v>46109</v>
      </c>
      <c r="G67" s="299" t="n">
        <v>46146</v>
      </c>
      <c r="H67" s="300" t="n">
        <v>17404</v>
      </c>
      <c r="I67" s="301" t="n">
        <v>1474.9</v>
      </c>
      <c r="J67" s="302" t="n">
        <v>25669160</v>
      </c>
      <c r="K67" s="302" t="n">
        <v>25669160</v>
      </c>
      <c r="L67" s="302" t="n">
        <v>10147</v>
      </c>
      <c r="M67" s="302" t="n">
        <v>6494</v>
      </c>
      <c r="N67" s="296" t="inlineStr">
        <is>
          <t>EW (CGV 동백 외)</t>
        </is>
      </c>
      <c r="O67" s="299" t="inlineStr">
        <is>
          <t>-</t>
        </is>
      </c>
      <c r="P67" s="296" t="inlineStr">
        <is>
          <t>-</t>
        </is>
      </c>
      <c r="Q67" s="300">
        <f>IF(P67="","",IFERROR(VLOOKUP(O67,FxRateTable,4,TRUE),""))</f>
        <v/>
      </c>
      <c r="R67" s="302">
        <f>IF(P67="","",H67)</f>
        <v/>
      </c>
      <c r="S67" s="302" t="n">
        <v>0</v>
      </c>
      <c r="T67" s="302" t="n">
        <v>0</v>
      </c>
      <c r="U67" s="298" t="n"/>
      <c r="V67" s="296" t="inlineStr">
        <is>
          <t>-</t>
        </is>
      </c>
      <c r="W67" s="302" t="n">
        <v>0</v>
      </c>
      <c r="X67" s="297" t="inlineStr">
        <is>
          <t>-</t>
        </is>
      </c>
      <c r="Y67" s="302" t="n">
        <v>0</v>
      </c>
      <c r="Z67" s="302">
        <f>S67+W67</f>
        <v/>
      </c>
      <c r="AA67" s="302">
        <f>K67+L67+M67+IFERROR(VLOOKUP(B67,RemitTable2,9,FALSE),0)+Y67+Z67</f>
        <v/>
      </c>
      <c r="AB67" s="303" t="n">
        <v>1</v>
      </c>
      <c r="AC67" s="302">
        <f>ROUND(AA67/AB67,0)</f>
        <v/>
      </c>
      <c r="AD67" s="296" t="inlineStr">
        <is>
          <t>2026-04</t>
        </is>
      </c>
      <c r="AE67" s="299" t="inlineStr">
        <is>
          <t>2026-04-01</t>
        </is>
      </c>
      <c r="AF67" s="298" t="inlineStr">
        <is>
          <t>2027-03-31</t>
        </is>
      </c>
    </row>
    <row r="68" ht="15.75" customHeight="1">
      <c r="A68" s="304" t="n">
        <v>64</v>
      </c>
      <c r="B68" s="304" t="inlineStr">
        <is>
          <t>CPO697</t>
        </is>
      </c>
      <c r="C68" s="304" t="inlineStr">
        <is>
          <t>Christie</t>
        </is>
      </c>
      <c r="D68" s="304" t="inlineStr">
        <is>
          <t>Net 45 days</t>
        </is>
      </c>
      <c r="E68" s="304" t="inlineStr">
        <is>
          <t>워런티(EW)</t>
        </is>
      </c>
      <c r="F68" s="305" t="n">
        <v>46136</v>
      </c>
      <c r="G68" s="305" t="n">
        <v>46171</v>
      </c>
      <c r="H68" s="306" t="n">
        <v>15289</v>
      </c>
      <c r="I68" s="307" t="n">
        <v>1502.7</v>
      </c>
      <c r="J68" s="308" t="n">
        <v>22974780</v>
      </c>
      <c r="K68" s="308" t="n">
        <v>22974780</v>
      </c>
      <c r="L68" s="308" t="n">
        <v>1880</v>
      </c>
      <c r="M68" s="308" t="n">
        <v>1203</v>
      </c>
      <c r="N68" s="304" t="inlineStr">
        <is>
          <t>EW CP4425/CP2308/CP2315/CP2309/CP2320 13대 (메가박스 북대구 외)</t>
        </is>
      </c>
      <c r="O68" s="305" t="inlineStr">
        <is>
          <t>-</t>
        </is>
      </c>
      <c r="P68" s="304" t="inlineStr">
        <is>
          <t>-</t>
        </is>
      </c>
      <c r="Q68" s="306">
        <f>IF(P68="","",IFERROR(VLOOKUP(O68,FxRateTable,4,TRUE),""))</f>
        <v/>
      </c>
      <c r="R68" s="306">
        <f>IF(P68="","",H68)</f>
        <v/>
      </c>
      <c r="S68" s="308" t="n">
        <v>0</v>
      </c>
      <c r="T68" s="308" t="n">
        <v>0</v>
      </c>
      <c r="U68" s="305" t="n"/>
      <c r="V68" s="304" t="inlineStr">
        <is>
          <t>-</t>
        </is>
      </c>
      <c r="W68" s="308" t="n">
        <v>0</v>
      </c>
      <c r="X68" s="304" t="inlineStr">
        <is>
          <t>-</t>
        </is>
      </c>
      <c r="Y68" s="308" t="n">
        <v>0</v>
      </c>
      <c r="Z68" s="308">
        <f>S68+W68</f>
        <v/>
      </c>
      <c r="AA68" s="308">
        <f>K68+L68+M68+IFERROR(VLOOKUP(B68,RemitTable2,9,FALSE),0)+Y68+Z68</f>
        <v/>
      </c>
      <c r="AB68" s="309" t="n">
        <v>1</v>
      </c>
      <c r="AC68" s="308">
        <f>ROUND(AA68/AB68,0)</f>
        <v/>
      </c>
      <c r="AD68" s="304" t="inlineStr">
        <is>
          <t>2026-04</t>
        </is>
      </c>
      <c r="AE68" s="305" t="n">
        <v>46168</v>
      </c>
      <c r="AF68" s="305" t="n">
        <v>46532</v>
      </c>
    </row>
    <row r="69" ht="15.75" customHeight="1">
      <c r="A69" s="304" t="n">
        <v>65</v>
      </c>
      <c r="B69" s="304" t="inlineStr">
        <is>
          <t>CPO693-2</t>
        </is>
      </c>
      <c r="C69" s="304" t="inlineStr">
        <is>
          <t>Christie</t>
        </is>
      </c>
      <c r="D69" s="304" t="inlineStr">
        <is>
          <t>Net 45 days</t>
        </is>
      </c>
      <c r="E69" s="304" t="inlineStr">
        <is>
          <t>워런티(EW)</t>
        </is>
      </c>
      <c r="F69" s="305" t="n">
        <v>46133</v>
      </c>
      <c r="G69" s="305" t="inlineStr">
        <is>
          <t>-</t>
        </is>
      </c>
      <c r="H69" s="306" t="n">
        <v>2550</v>
      </c>
      <c r="I69" s="307">
        <f>IFERROR(VLOOKUP(B69,RemitTable2,7,FALSE),0)</f>
        <v/>
      </c>
      <c r="J69" s="308" t="n">
        <v>0</v>
      </c>
      <c r="K69" s="308">
        <f>IFERROR(ROUND(H69*I69,0),0)</f>
        <v/>
      </c>
      <c r="L69" s="308">
        <f>IFERROR(VLOOKUP(B69,RemitTable2,10,FALSE),0)</f>
        <v/>
      </c>
      <c r="M69" s="308">
        <f>IFERROR(VLOOKUP(B69,RemitTable2,11,FALSE),0)</f>
        <v/>
      </c>
      <c r="N69" s="304" t="inlineStr">
        <is>
          <t>CP4420-RGB 2년 워런티 (CGV 구미)</t>
        </is>
      </c>
      <c r="O69" s="305" t="inlineStr">
        <is>
          <t>-</t>
        </is>
      </c>
      <c r="P69" s="304" t="inlineStr">
        <is>
          <t>-</t>
        </is>
      </c>
      <c r="Q69" s="306">
        <f>IF(P69="","",IFERROR(VLOOKUP(O69,FxRateTable,4,TRUE),""))</f>
        <v/>
      </c>
      <c r="R69" s="306">
        <f>IF(P69="","",H69)</f>
        <v/>
      </c>
      <c r="S69" s="308" t="n">
        <v>0</v>
      </c>
      <c r="T69" s="308" t="n">
        <v>0</v>
      </c>
      <c r="U69" s="305" t="n"/>
      <c r="V69" s="304" t="inlineStr">
        <is>
          <t>-</t>
        </is>
      </c>
      <c r="W69" s="308" t="n">
        <v>0</v>
      </c>
      <c r="X69" s="304" t="inlineStr">
        <is>
          <t>-</t>
        </is>
      </c>
      <c r="Y69" s="308" t="n">
        <v>0</v>
      </c>
      <c r="Z69" s="308">
        <f>S69+W69</f>
        <v/>
      </c>
      <c r="AA69" s="308">
        <f>K69+L69+M69+IFERROR(VLOOKUP(B69,RemitTable2,9,FALSE),0)+Y69+Z69</f>
        <v/>
      </c>
      <c r="AB69" s="309" t="n">
        <v>1</v>
      </c>
      <c r="AC69" s="308">
        <f>ROUND(AA69/AB69,0)</f>
        <v/>
      </c>
      <c r="AD69" s="304" t="inlineStr">
        <is>
          <t>2026-04</t>
        </is>
      </c>
      <c r="AE69" s="305" t="n">
        <v>46142</v>
      </c>
      <c r="AF69" s="305" t="n">
        <v>46872</v>
      </c>
    </row>
    <row r="70" ht="15.75" customHeight="1">
      <c r="A70" s="132" t="n">
        <v>66</v>
      </c>
      <c r="B70" s="132" t="inlineStr">
        <is>
          <t>GPO478</t>
        </is>
      </c>
      <c r="C70" s="132" t="inlineStr">
        <is>
          <t>GDC</t>
        </is>
      </c>
      <c r="D70" s="132" t="inlineStr">
        <is>
          <t>Net 30 days</t>
        </is>
      </c>
      <c r="E70" s="132" t="inlineStr">
        <is>
          <t>라이센스</t>
        </is>
      </c>
      <c r="F70" s="188" t="n">
        <v>46127</v>
      </c>
      <c r="G70" s="188" t="n">
        <v>46161</v>
      </c>
      <c r="H70" s="134" t="n">
        <v>180</v>
      </c>
      <c r="I70" s="311" t="n">
        <v>1518.9</v>
      </c>
      <c r="J70" s="136" t="n">
        <v>273402</v>
      </c>
      <c r="K70" s="136" t="n">
        <v>273402</v>
      </c>
      <c r="L70" s="136" t="n">
        <v>2500</v>
      </c>
      <c r="M70" s="136" t="n">
        <v>8000</v>
      </c>
      <c r="N70" s="137" t="n"/>
      <c r="O70" s="189" t="n"/>
      <c r="P70" s="137" t="n"/>
      <c r="Q70" s="134">
        <f>IF(P70="","",IFERROR(VLOOKUP(O70,FxRateTable,4,TRUE),""))</f>
        <v/>
      </c>
      <c r="R70" s="134">
        <f>IF(P70="","",H70)</f>
        <v/>
      </c>
      <c r="S70" s="136" t="n">
        <v>0</v>
      </c>
      <c r="T70" s="136" t="n">
        <v>0</v>
      </c>
      <c r="U70" s="188" t="n"/>
      <c r="V70" s="137" t="n"/>
      <c r="W70" s="136" t="n">
        <v>0</v>
      </c>
      <c r="X70" s="132" t="inlineStr">
        <is>
          <t>-</t>
        </is>
      </c>
      <c r="Y70" s="136" t="n">
        <v>0</v>
      </c>
      <c r="Z70" s="136">
        <f>S70+W70</f>
        <v/>
      </c>
      <c r="AA70" s="136">
        <f>K70+L70+M70+IFERROR(VLOOKUP(B70,RemitTable2,9,FALSE),0)+Y70+Z70</f>
        <v/>
      </c>
      <c r="AB70" s="168" t="n">
        <v>2</v>
      </c>
      <c r="AC70" s="136">
        <f>ROUND(AA70/AB70,0)</f>
        <v/>
      </c>
      <c r="AD70" s="132" t="inlineStr">
        <is>
          <t>2026-05</t>
        </is>
      </c>
      <c r="AE70" s="188" t="n">
        <v>46143</v>
      </c>
      <c r="AF70" s="188" t="n">
        <v>46507</v>
      </c>
    </row>
    <row r="71" ht="15.75" customHeight="1">
      <c r="A71" s="132" t="n">
        <v>67</v>
      </c>
      <c r="B71" s="132" t="inlineStr">
        <is>
          <t>GPO480</t>
        </is>
      </c>
      <c r="C71" s="132" t="inlineStr">
        <is>
          <t>GDC</t>
        </is>
      </c>
      <c r="D71" s="132" t="inlineStr">
        <is>
          <t>Net 30 days</t>
        </is>
      </c>
      <c r="E71" s="132" t="inlineStr">
        <is>
          <t>라이센스</t>
        </is>
      </c>
      <c r="F71" s="188" t="n">
        <v>46137</v>
      </c>
      <c r="G71" s="188" t="n">
        <v>46171</v>
      </c>
      <c r="H71" s="134" t="n">
        <v>250</v>
      </c>
      <c r="I71" s="311" t="n">
        <v>1502.8</v>
      </c>
      <c r="J71" s="136" t="n">
        <v>375700</v>
      </c>
      <c r="K71" s="136" t="n">
        <v>375700</v>
      </c>
      <c r="L71" s="136" t="n">
        <v>32</v>
      </c>
      <c r="M71" s="136" t="n">
        <v>20</v>
      </c>
      <c r="N71" s="137" t="n"/>
      <c r="O71" s="189" t="n"/>
      <c r="P71" s="137" t="n"/>
      <c r="Q71" s="134">
        <f>IF(P71="","",IFERROR(VLOOKUP(O71,FxRateTable,4,TRUE),""))</f>
        <v/>
      </c>
      <c r="R71" s="134">
        <f>IF(P71="","",H71)</f>
        <v/>
      </c>
      <c r="S71" s="136" t="n">
        <v>0</v>
      </c>
      <c r="T71" s="136" t="n">
        <v>0</v>
      </c>
      <c r="U71" s="188" t="n"/>
      <c r="V71" s="137" t="n"/>
      <c r="W71" s="136" t="n">
        <v>0</v>
      </c>
      <c r="X71" s="132" t="inlineStr">
        <is>
          <t>-</t>
        </is>
      </c>
      <c r="Y71" s="136" t="n">
        <v>0</v>
      </c>
      <c r="Z71" s="136">
        <f>S71+W71</f>
        <v/>
      </c>
      <c r="AA71" s="136">
        <f>K71+L71+M71+IFERROR(VLOOKUP(B71,RemitTable2,9,FALSE),0)+Y71+Z71</f>
        <v/>
      </c>
      <c r="AB71" s="168" t="n">
        <v>1</v>
      </c>
      <c r="AC71" s="136">
        <f>ROUND(AA71/AB71,0)</f>
        <v/>
      </c>
      <c r="AD71" s="132" t="inlineStr">
        <is>
          <t>2026-05</t>
        </is>
      </c>
      <c r="AE71" s="188" t="n">
        <v>46143</v>
      </c>
      <c r="AF71" s="188" t="n">
        <v>49795</v>
      </c>
    </row>
    <row r="72" ht="15.75" customHeight="1">
      <c r="A72" s="132" t="n">
        <v>68</v>
      </c>
      <c r="B72" s="132" t="inlineStr">
        <is>
          <t>GPO481</t>
        </is>
      </c>
      <c r="C72" s="132" t="inlineStr">
        <is>
          <t>GDC</t>
        </is>
      </c>
      <c r="D72" s="132" t="inlineStr">
        <is>
          <t>Net 30 days</t>
        </is>
      </c>
      <c r="E72" s="132" t="inlineStr">
        <is>
          <t>라이센스</t>
        </is>
      </c>
      <c r="F72" s="188" t="n">
        <v>46152</v>
      </c>
      <c r="G72" s="188" t="n">
        <v>46183</v>
      </c>
      <c r="H72" s="134" t="n">
        <v>500</v>
      </c>
      <c r="I72" s="311" t="n">
        <v>1525.3</v>
      </c>
      <c r="J72" s="136" t="n">
        <v>762650</v>
      </c>
      <c r="K72" s="136" t="n">
        <v>762650</v>
      </c>
      <c r="L72" s="136" t="n">
        <v>52</v>
      </c>
      <c r="M72" s="136" t="n">
        <v>34</v>
      </c>
      <c r="N72" s="137" t="n"/>
      <c r="O72" s="189" t="n"/>
      <c r="P72" s="137" t="n"/>
      <c r="Q72" s="134">
        <f>IF(P72="","",IFERROR(VLOOKUP(O72,FxRateTable,4,TRUE),""))</f>
        <v/>
      </c>
      <c r="R72" s="134">
        <f>IF(P72="","",H72)</f>
        <v/>
      </c>
      <c r="S72" s="136" t="n">
        <v>0</v>
      </c>
      <c r="T72" s="136" t="n">
        <v>0</v>
      </c>
      <c r="U72" s="188" t="n"/>
      <c r="V72" s="137" t="n"/>
      <c r="W72" s="136" t="n">
        <v>0</v>
      </c>
      <c r="X72" s="132" t="inlineStr">
        <is>
          <t>-</t>
        </is>
      </c>
      <c r="Y72" s="136" t="n">
        <v>0</v>
      </c>
      <c r="Z72" s="136">
        <f>S72+W72</f>
        <v/>
      </c>
      <c r="AA72" s="136">
        <f>K72+L72+M72+IFERROR(VLOOKUP(B72,RemitTable2,9,FALSE),0)+Y72+Z72</f>
        <v/>
      </c>
      <c r="AB72" s="168" t="n">
        <v>1</v>
      </c>
      <c r="AC72" s="136">
        <f>ROUND(AA72/AB72,0)</f>
        <v/>
      </c>
      <c r="AD72" s="132" t="inlineStr">
        <is>
          <t>2026-06</t>
        </is>
      </c>
      <c r="AE72" s="188" t="inlineStr">
        <is>
          <t>-</t>
        </is>
      </c>
      <c r="AF72" s="188" t="inlineStr">
        <is>
          <t>-</t>
        </is>
      </c>
    </row>
    <row r="73" ht="15.75" customHeight="1">
      <c r="A73" s="132" t="n">
        <v>69</v>
      </c>
      <c r="B73" s="132" t="inlineStr">
        <is>
          <t>GPO475</t>
        </is>
      </c>
      <c r="C73" s="132" t="inlineStr">
        <is>
          <t>GDC</t>
        </is>
      </c>
      <c r="D73" s="132" t="inlineStr">
        <is>
          <t>Net 30 days</t>
        </is>
      </c>
      <c r="E73" s="132" t="inlineStr">
        <is>
          <t>라이센스</t>
        </is>
      </c>
      <c r="F73" s="188" t="n">
        <v>46127</v>
      </c>
      <c r="G73" s="188" t="n">
        <v>46190</v>
      </c>
      <c r="H73" s="134" t="n">
        <v>540</v>
      </c>
      <c r="I73" s="311" t="n">
        <v>1516.8</v>
      </c>
      <c r="J73" s="136" t="n">
        <v>819072</v>
      </c>
      <c r="K73" s="136" t="n">
        <v>819072</v>
      </c>
      <c r="L73" s="136" t="n">
        <v>1985</v>
      </c>
      <c r="M73" s="136" t="n">
        <v>2118</v>
      </c>
      <c r="N73" s="132" t="inlineStr">
        <is>
          <t>TMS-1000 License 6 screens (CGV 안동)</t>
        </is>
      </c>
      <c r="O73" s="189" t="n"/>
      <c r="P73" s="137" t="n"/>
      <c r="Q73" s="134">
        <f>IF(P73="","",IFERROR(VLOOKUP(O73,FxRateTable,4,TRUE),""))</f>
        <v/>
      </c>
      <c r="R73" s="134">
        <f>IF(P73="","",H73)</f>
        <v/>
      </c>
      <c r="S73" s="136" t="n">
        <v>0</v>
      </c>
      <c r="T73" s="136" t="n">
        <v>0</v>
      </c>
      <c r="U73" s="188" t="n"/>
      <c r="V73" s="137" t="n"/>
      <c r="W73" s="136" t="n">
        <v>0</v>
      </c>
      <c r="X73" s="132" t="inlineStr">
        <is>
          <t>-</t>
        </is>
      </c>
      <c r="Y73" s="136" t="n">
        <v>0</v>
      </c>
      <c r="Z73" s="136">
        <f>S73+W73</f>
        <v/>
      </c>
      <c r="AA73" s="136">
        <f>K73+L73+M73+IFERROR(VLOOKUP(B73,RemitTable2,9,FALSE),0)+Y73+Z73</f>
        <v/>
      </c>
      <c r="AB73" s="168" t="n">
        <v>6</v>
      </c>
      <c r="AC73" s="136">
        <f>ROUND(AA73/AB73,0)</f>
        <v/>
      </c>
      <c r="AD73" s="132" t="inlineStr">
        <is>
          <t>2026-05</t>
        </is>
      </c>
      <c r="AE73" s="188" t="n">
        <v>46143</v>
      </c>
      <c r="AF73" s="188" t="n">
        <v>46507</v>
      </c>
    </row>
    <row r="74" ht="15.75" customHeight="1">
      <c r="A74" s="132" t="n">
        <v>70</v>
      </c>
      <c r="B74" s="132" t="inlineStr">
        <is>
          <t>CPO702</t>
        </is>
      </c>
      <c r="C74" s="132" t="inlineStr">
        <is>
          <t>Christie</t>
        </is>
      </c>
      <c r="D74" s="132" t="inlineStr">
        <is>
          <t>Net 45 days</t>
        </is>
      </c>
      <c r="E74" s="132" t="inlineStr">
        <is>
          <t>워런티(EW)</t>
        </is>
      </c>
      <c r="F74" s="188" t="n">
        <v>46181</v>
      </c>
      <c r="G74" s="188" t="inlineStr">
        <is>
          <t>-</t>
        </is>
      </c>
      <c r="H74" s="134" t="n">
        <v>32715</v>
      </c>
      <c r="I74" s="311" t="n">
        <v>0</v>
      </c>
      <c r="J74" s="136" t="n">
        <v>0</v>
      </c>
      <c r="K74" s="136" t="n">
        <v>0</v>
      </c>
      <c r="L74" s="136" t="n">
        <v>0</v>
      </c>
      <c r="M74" s="136" t="n">
        <v>0</v>
      </c>
      <c r="N74" s="132" t="inlineStr">
        <is>
          <t>EW CP2215/CP2309-RGB 25대 (롯데 영천/CineQ 청라/CGV 동두천 외)</t>
        </is>
      </c>
      <c r="O74" s="189" t="n"/>
      <c r="P74" s="137" t="n"/>
      <c r="Q74" s="134">
        <f>IF(P74="","",IFERROR(VLOOKUP(O74,FxRateTable,4,TRUE),""))</f>
        <v/>
      </c>
      <c r="R74" s="134">
        <f>IF(P74="","",H74)</f>
        <v/>
      </c>
      <c r="S74" s="136" t="n">
        <v>0</v>
      </c>
      <c r="T74" s="136" t="n">
        <v>0</v>
      </c>
      <c r="U74" s="188" t="n"/>
      <c r="V74" s="132" t="inlineStr">
        <is>
          <t>-</t>
        </is>
      </c>
      <c r="W74" s="136" t="n">
        <v>0</v>
      </c>
      <c r="X74" s="132" t="inlineStr">
        <is>
          <t>-</t>
        </is>
      </c>
      <c r="Y74" s="136" t="n">
        <v>0</v>
      </c>
      <c r="Z74" s="136">
        <f>S74+W74</f>
        <v/>
      </c>
      <c r="AA74" s="136">
        <f>K74+L74+M74+IFERROR(VLOOKUP(B74,RemitTable2,9,FALSE),0)+Y74+Z74</f>
        <v/>
      </c>
      <c r="AB74" s="168" t="n">
        <v>25</v>
      </c>
      <c r="AC74" s="136">
        <f>ROUND(AA74/AB74,0)</f>
        <v/>
      </c>
      <c r="AD74" s="132" t="inlineStr">
        <is>
          <t>2026-06</t>
        </is>
      </c>
      <c r="AE74" s="188" t="n">
        <v>46192</v>
      </c>
      <c r="AF74" s="188" t="n">
        <v>46752</v>
      </c>
    </row>
    <row r="75" ht="15.75" customHeight="1">
      <c r="A75" s="132" t="n">
        <v>71</v>
      </c>
      <c r="B75" s="132" t="inlineStr">
        <is>
          <t>GPO486</t>
        </is>
      </c>
      <c r="C75" s="132" t="inlineStr">
        <is>
          <t>GDC</t>
        </is>
      </c>
      <c r="D75" s="132" t="inlineStr">
        <is>
          <t>Net 30 days</t>
        </is>
      </c>
      <c r="E75" s="132" t="inlineStr">
        <is>
          <t>라이센스</t>
        </is>
      </c>
      <c r="F75" s="188" t="n">
        <v>46182</v>
      </c>
      <c r="G75" s="188" t="inlineStr">
        <is>
          <t>-</t>
        </is>
      </c>
      <c r="H75" s="134" t="n">
        <v>450</v>
      </c>
      <c r="I75" s="311" t="n">
        <v>0</v>
      </c>
      <c r="J75" s="136" t="n">
        <v>0</v>
      </c>
      <c r="K75" s="136" t="n">
        <v>0</v>
      </c>
      <c r="L75" s="136" t="n">
        <v>0</v>
      </c>
      <c r="M75" s="136" t="n">
        <v>0</v>
      </c>
      <c r="N75" s="132" t="inlineStr">
        <is>
          <t>TMS-1000 License Extension 5screens (메가박스 경산 하양)</t>
        </is>
      </c>
      <c r="O75" s="189" t="n"/>
      <c r="P75" s="137" t="n"/>
      <c r="Q75" s="134">
        <f>IF(P75="","",IFERROR(VLOOKUP(O75,FxRateTable,4,TRUE),""))</f>
        <v/>
      </c>
      <c r="R75" s="134">
        <f>IF(P75="","",H75)</f>
        <v/>
      </c>
      <c r="S75" s="136" t="n">
        <v>0</v>
      </c>
      <c r="T75" s="136" t="n">
        <v>0</v>
      </c>
      <c r="U75" s="188" t="n"/>
      <c r="V75" s="132" t="inlineStr">
        <is>
          <t>-</t>
        </is>
      </c>
      <c r="W75" s="136" t="n">
        <v>0</v>
      </c>
      <c r="X75" s="132" t="inlineStr">
        <is>
          <t>-</t>
        </is>
      </c>
      <c r="Y75" s="136" t="n">
        <v>0</v>
      </c>
      <c r="Z75" s="136">
        <f>S75+W75</f>
        <v/>
      </c>
      <c r="AA75" s="136">
        <f>K75+L75+M75+IFERROR(VLOOKUP(B75,RemitTable2,9,FALSE),0)+Y75+Z75</f>
        <v/>
      </c>
      <c r="AB75" s="168" t="n">
        <v>5</v>
      </c>
      <c r="AC75" s="136">
        <f>ROUND(AA75/AB75,0)</f>
        <v/>
      </c>
      <c r="AD75" s="132" t="inlineStr">
        <is>
          <t>2026-07</t>
        </is>
      </c>
      <c r="AE75" s="188" t="n">
        <v>46204</v>
      </c>
      <c r="AF75" s="188" t="n">
        <v>46568</v>
      </c>
    </row>
    <row r="76" ht="15.75" customHeight="1">
      <c r="A76" s="132" t="n">
        <v>72</v>
      </c>
      <c r="B76" s="132" t="inlineStr">
        <is>
          <t>GPO484</t>
        </is>
      </c>
      <c r="C76" s="132" t="inlineStr">
        <is>
          <t>GDC</t>
        </is>
      </c>
      <c r="D76" s="132" t="inlineStr">
        <is>
          <t>Net 30 days</t>
        </is>
      </c>
      <c r="E76" s="132" t="inlineStr">
        <is>
          <t>워런티(EW)</t>
        </is>
      </c>
      <c r="F76" s="188" t="n">
        <v>46183</v>
      </c>
      <c r="G76" s="188" t="inlineStr">
        <is>
          <t>-</t>
        </is>
      </c>
      <c r="H76" s="134" t="n">
        <v>7407.81</v>
      </c>
      <c r="I76" s="311" t="n">
        <v>0</v>
      </c>
      <c r="J76" s="136" t="n">
        <v>0</v>
      </c>
      <c r="K76" s="136" t="n">
        <v>0</v>
      </c>
      <c r="L76" s="136" t="n">
        <v>0</v>
      </c>
      <c r="M76" s="136" t="n">
        <v>0</v>
      </c>
      <c r="N76" s="132" t="inlineStr">
        <is>
          <t>SR-1000/SX-4000 Warranty Ext 11대 (CGV 진주혁신/합천/구례)</t>
        </is>
      </c>
      <c r="O76" s="189" t="n"/>
      <c r="P76" s="137" t="n"/>
      <c r="Q76" s="134">
        <f>IF(P76="","",IFERROR(VLOOKUP(O76,FxRateTable,4,TRUE),""))</f>
        <v/>
      </c>
      <c r="R76" s="134">
        <f>IF(P76="","",H76)</f>
        <v/>
      </c>
      <c r="S76" s="136" t="n">
        <v>0</v>
      </c>
      <c r="T76" s="136" t="n">
        <v>0</v>
      </c>
      <c r="U76" s="188" t="n"/>
      <c r="V76" s="132" t="inlineStr">
        <is>
          <t>-</t>
        </is>
      </c>
      <c r="W76" s="136" t="n">
        <v>0</v>
      </c>
      <c r="X76" s="132" t="inlineStr">
        <is>
          <t>-</t>
        </is>
      </c>
      <c r="Y76" s="136" t="n">
        <v>0</v>
      </c>
      <c r="Z76" s="136">
        <f>S76+W76</f>
        <v/>
      </c>
      <c r="AA76" s="136">
        <f>K76+L76+M76+IFERROR(VLOOKUP(B76,RemitTable2,9,FALSE),0)+Y76+Z76</f>
        <v/>
      </c>
      <c r="AB76" s="168" t="n">
        <v>11</v>
      </c>
      <c r="AC76" s="136">
        <f>ROUND(AA76/AB76,0)</f>
        <v/>
      </c>
      <c r="AD76" s="132" t="inlineStr">
        <is>
          <t>2026-05</t>
        </is>
      </c>
      <c r="AE76" s="188" t="n">
        <v>46156</v>
      </c>
      <c r="AF76" s="188" t="n">
        <v>46752</v>
      </c>
    </row>
    <row r="77" ht="15.75" customHeight="1">
      <c r="A77" s="132" t="n">
        <v>73</v>
      </c>
      <c r="B77" s="132" t="inlineStr">
        <is>
          <t>GPO489</t>
        </is>
      </c>
      <c r="C77" s="132" t="inlineStr">
        <is>
          <t>GDC</t>
        </is>
      </c>
      <c r="D77" s="132" t="inlineStr">
        <is>
          <t>Net 30 days</t>
        </is>
      </c>
      <c r="E77" s="132" t="inlineStr">
        <is>
          <t>라이센스</t>
        </is>
      </c>
      <c r="F77" s="188" t="n">
        <v>46196</v>
      </c>
      <c r="G77" s="188" t="inlineStr">
        <is>
          <t>-</t>
        </is>
      </c>
      <c r="H77" s="134" t="n">
        <v>3320</v>
      </c>
      <c r="I77" s="311" t="n">
        <v>0</v>
      </c>
      <c r="J77" s="136" t="n">
        <v>0</v>
      </c>
      <c r="K77" s="136" t="n">
        <v>0</v>
      </c>
      <c r="L77" s="136" t="n">
        <v>0</v>
      </c>
      <c r="M77" s="136" t="n">
        <v>0</v>
      </c>
      <c r="N77" s="132" t="inlineStr">
        <is>
          <t>TMS License 7사이트 32screens (메가박스 삼천포/CGV 대구수성 외)</t>
        </is>
      </c>
      <c r="O77" s="189" t="n"/>
      <c r="P77" s="137" t="n"/>
      <c r="Q77" s="134">
        <f>IF(P77="","",IFERROR(VLOOKUP(O77,FxRateTable,4,TRUE),""))</f>
        <v/>
      </c>
      <c r="R77" s="134">
        <f>IF(P77="","",H77)</f>
        <v/>
      </c>
      <c r="S77" s="136" t="n">
        <v>0</v>
      </c>
      <c r="T77" s="136" t="n">
        <v>0</v>
      </c>
      <c r="U77" s="188" t="n"/>
      <c r="V77" s="132" t="inlineStr">
        <is>
          <t>-</t>
        </is>
      </c>
      <c r="W77" s="136" t="n">
        <v>0</v>
      </c>
      <c r="X77" s="132" t="inlineStr">
        <is>
          <t>-</t>
        </is>
      </c>
      <c r="Y77" s="136" t="n">
        <v>0</v>
      </c>
      <c r="Z77" s="136">
        <f>S77+W77</f>
        <v/>
      </c>
      <c r="AA77" s="136">
        <f>K77+L77+M77+IFERROR(VLOOKUP(B77,RemitTable2,9,FALSE),0)+Y77+Z77</f>
        <v/>
      </c>
      <c r="AB77" s="168" t="n">
        <v>32</v>
      </c>
      <c r="AC77" s="136">
        <f>ROUND(AA77/AB77,0)</f>
        <v/>
      </c>
      <c r="AD77" s="132" t="inlineStr">
        <is>
          <t>2026-07</t>
        </is>
      </c>
      <c r="AE77" s="188" t="n">
        <v>46204</v>
      </c>
      <c r="AF77" s="188" t="n">
        <v>46568</v>
      </c>
    </row>
    <row r="78" ht="15.75" customHeight="1">
      <c r="A78" s="132" t="n">
        <v>74</v>
      </c>
      <c r="B78" s="132" t="inlineStr">
        <is>
          <t>GPO487</t>
        </is>
      </c>
      <c r="C78" s="132" t="inlineStr">
        <is>
          <t>GDC</t>
        </is>
      </c>
      <c r="D78" s="132" t="inlineStr">
        <is>
          <t>Net 30 days</t>
        </is>
      </c>
      <c r="E78" s="132" t="inlineStr">
        <is>
          <t>워런티(EW)</t>
        </is>
      </c>
      <c r="F78" s="188" t="inlineStr">
        <is>
          <t>-</t>
        </is>
      </c>
      <c r="G78" s="188" t="inlineStr">
        <is>
          <t>-</t>
        </is>
      </c>
      <c r="H78" s="134" t="n">
        <v>5309</v>
      </c>
      <c r="I78" s="311">
        <f>IFERROR(VLOOKUP(B78,RemitTable2,7,FALSE),0)</f>
        <v/>
      </c>
      <c r="J78" s="136" t="n">
        <v>0</v>
      </c>
      <c r="K78" s="136">
        <f>IFERROR(ROUND(H78*I78,0),0)</f>
        <v/>
      </c>
      <c r="L78" s="136">
        <f>IFERROR(VLOOKUP(B78,RemitTable2,10,FALSE),0)</f>
        <v/>
      </c>
      <c r="M78" s="136">
        <f>IFERROR(VLOOKUP(B78,RemitTable2,11,FALSE),0)</f>
        <v/>
      </c>
      <c r="N78" s="132" t="inlineStr">
        <is>
          <t>SX-3000 EW 133대 (롯데, gross 33,309 차감 보상판매 Credit 28,000)</t>
        </is>
      </c>
      <c r="O78" s="189" t="inlineStr">
        <is>
          <t>-</t>
        </is>
      </c>
      <c r="P78" s="137" t="inlineStr">
        <is>
          <t>-</t>
        </is>
      </c>
      <c r="Q78" s="134">
        <f>IF(P78="","",IFERROR(VLOOKUP(O78,FxRateTable,4,TRUE),""))</f>
        <v/>
      </c>
      <c r="R78" s="134">
        <f>IF(P78="","",H78)</f>
        <v/>
      </c>
      <c r="S78" s="136" t="n">
        <v>0</v>
      </c>
      <c r="T78" s="136" t="n">
        <v>0</v>
      </c>
      <c r="U78" s="188" t="n"/>
      <c r="V78" s="132" t="inlineStr">
        <is>
          <t>-</t>
        </is>
      </c>
      <c r="W78" s="136" t="n">
        <v>0</v>
      </c>
      <c r="X78" s="132" t="inlineStr">
        <is>
          <t>-</t>
        </is>
      </c>
      <c r="Y78" s="136" t="n">
        <v>0</v>
      </c>
      <c r="Z78" s="136">
        <f>S78+W78</f>
        <v/>
      </c>
      <c r="AA78" s="136">
        <f>K78+L78+M78+IFERROR(VLOOKUP(B78,RemitTable2,9,FALSE),0)+Y78+Z78</f>
        <v/>
      </c>
      <c r="AB78" s="168" t="n">
        <v>133</v>
      </c>
      <c r="AC78" s="136">
        <f>ROUND(AA78/AB78,0)</f>
        <v/>
      </c>
      <c r="AD78" s="132" t="inlineStr">
        <is>
          <t>2026-07</t>
        </is>
      </c>
      <c r="AE78" s="188" t="n">
        <v>46204</v>
      </c>
      <c r="AF78" s="188" t="n">
        <v>46387</v>
      </c>
    </row>
    <row r="79" ht="15.75" customHeight="1">
      <c r="A79" s="284" t="n">
        <v>75</v>
      </c>
      <c r="B79" s="284" t="inlineStr">
        <is>
          <t>CPO688</t>
        </is>
      </c>
      <c r="C79" s="285" t="inlineStr">
        <is>
          <t>Christie</t>
        </is>
      </c>
      <c r="D79" s="284" t="inlineStr">
        <is>
          <t>Net 45 days</t>
        </is>
      </c>
      <c r="E79" s="285" t="inlineStr">
        <is>
          <t>Inspection</t>
        </is>
      </c>
      <c r="F79" s="286" t="n">
        <v>46037</v>
      </c>
      <c r="G79" s="287" t="inlineStr">
        <is>
          <t>-</t>
        </is>
      </c>
      <c r="H79" s="288" t="n">
        <v>4180</v>
      </c>
      <c r="I79" s="289">
        <f>IFERROR(VLOOKUP(B79,RemitTable2,7,FALSE),0)</f>
        <v/>
      </c>
      <c r="J79" s="290" t="n">
        <v>0</v>
      </c>
      <c r="K79" s="290">
        <f>IFERROR(ROUND(H79*I79,0),0)</f>
        <v/>
      </c>
      <c r="L79" s="290">
        <f>IFERROR(VLOOKUP(B79,RemitTable2,10,FALSE),0)</f>
        <v/>
      </c>
      <c r="M79" s="290">
        <f>IFERROR(VLOOKUP(B79,RemitTable2,11,FALSE),0)</f>
        <v/>
      </c>
      <c r="N79" s="284" t="inlineStr">
        <is>
          <t>Inspection fee</t>
        </is>
      </c>
      <c r="O79" s="287" t="inlineStr">
        <is>
          <t>-</t>
        </is>
      </c>
      <c r="P79" s="284" t="inlineStr">
        <is>
          <t>-</t>
        </is>
      </c>
      <c r="Q79" s="288">
        <f>IF(P79="","",IFERROR(VLOOKUP(O79,FxRateTable,4,TRUE),""))</f>
        <v/>
      </c>
      <c r="R79" s="290">
        <f>IF(P79="","",H79)</f>
        <v/>
      </c>
      <c r="S79" s="290" t="n">
        <v>0</v>
      </c>
      <c r="T79" s="290" t="n">
        <v>0</v>
      </c>
      <c r="U79" s="286" t="n"/>
      <c r="V79" s="284" t="inlineStr">
        <is>
          <t>-</t>
        </is>
      </c>
      <c r="W79" s="290" t="n">
        <v>0</v>
      </c>
      <c r="X79" s="285" t="inlineStr">
        <is>
          <t>-</t>
        </is>
      </c>
      <c r="Y79" s="290" t="n">
        <v>0</v>
      </c>
      <c r="Z79" s="290">
        <f>S79+W79</f>
        <v/>
      </c>
      <c r="AA79" s="290">
        <f>K79+L79+M79+IFERROR(VLOOKUP(B79,RemitTable2,9,FALSE),0)+Y79+Z79</f>
        <v/>
      </c>
      <c r="AB79" s="291" t="n">
        <v>1</v>
      </c>
      <c r="AC79" s="290">
        <f>ROUND(AA79/AB79,0)</f>
        <v/>
      </c>
      <c r="AD79" s="284" t="inlineStr">
        <is>
          <t>2026-01</t>
        </is>
      </c>
      <c r="AE79" s="287" t="inlineStr">
        <is>
          <t>-</t>
        </is>
      </c>
      <c r="AF79" s="286" t="inlineStr">
        <is>
          <t>-</t>
        </is>
      </c>
    </row>
    <row r="80" ht="15.75" customHeight="1">
      <c r="A80" s="284" t="n">
        <v>76</v>
      </c>
      <c r="B80" s="284" t="inlineStr">
        <is>
          <t>SX3000수리</t>
        </is>
      </c>
      <c r="C80" s="285" t="inlineStr">
        <is>
          <t>GDC</t>
        </is>
      </c>
      <c r="D80" s="284" t="inlineStr">
        <is>
          <t>-</t>
        </is>
      </c>
      <c r="E80" s="285" t="inlineStr">
        <is>
          <t>수리반환</t>
        </is>
      </c>
      <c r="F80" s="286" t="n"/>
      <c r="G80" s="287" t="inlineStr">
        <is>
          <t>-</t>
        </is>
      </c>
      <c r="H80" s="288" t="n">
        <v>400</v>
      </c>
      <c r="I80" s="289">
        <f>IFERROR(VLOOKUP(B80,RemitTable2,7,FALSE),0)</f>
        <v/>
      </c>
      <c r="J80" s="290" t="n">
        <v>0</v>
      </c>
      <c r="K80" s="290">
        <f>IFERROR(ROUND(H80*I80,0),0)</f>
        <v/>
      </c>
      <c r="L80" s="290">
        <f>IFERROR(VLOOKUP(B80,RemitTable2,10,FALSE),0)</f>
        <v/>
      </c>
      <c r="M80" s="290">
        <f>IFERROR(VLOOKUP(B80,RemitTable2,11,FALSE),0)</f>
        <v/>
      </c>
      <c r="N80" s="284" t="inlineStr">
        <is>
          <t>Display Card (수리반환 5PCS)</t>
        </is>
      </c>
      <c r="O80" s="287" t="n">
        <v>46125</v>
      </c>
      <c r="P80" s="284" t="inlineStr">
        <is>
          <t>22356-26-351613M</t>
        </is>
      </c>
      <c r="Q80" s="288">
        <f>IF(P80="","",IFERROR(VLOOKUP(O80,FxRateTable,4,TRUE),""))</f>
        <v/>
      </c>
      <c r="R80" s="290">
        <f>IF(P80="","",H80)</f>
        <v/>
      </c>
      <c r="S80" s="290" t="n">
        <v>0</v>
      </c>
      <c r="T80" s="290" t="n">
        <v>67750</v>
      </c>
      <c r="U80" s="286" t="n"/>
      <c r="V80" s="284" t="inlineStr">
        <is>
          <t>운서합동</t>
        </is>
      </c>
      <c r="W80" s="290" t="n">
        <v>0</v>
      </c>
      <c r="X80" s="285" t="inlineStr">
        <is>
          <t>DHL</t>
        </is>
      </c>
      <c r="Y80" s="290" t="n">
        <v>216006</v>
      </c>
      <c r="Z80" s="290">
        <f>S80+W80</f>
        <v/>
      </c>
      <c r="AA80" s="290">
        <f>K80+L80+M80+IFERROR(VLOOKUP(B80,RemitTable2,9,FALSE),0)+Y80+Z80</f>
        <v/>
      </c>
      <c r="AB80" s="291" t="n">
        <v>5</v>
      </c>
      <c r="AC80" s="290">
        <f>ROUND(AA80/AB80,0)</f>
        <v/>
      </c>
      <c r="AD80" s="284" t="inlineStr">
        <is>
          <t>2026-04</t>
        </is>
      </c>
      <c r="AE80" s="287" t="n"/>
      <c r="AF80" s="286" t="n"/>
    </row>
    <row r="81" ht="15.75" customHeight="1">
      <c r="A81" s="216" t="n">
        <v>77</v>
      </c>
      <c r="B81" s="216" t="inlineStr">
        <is>
          <t>FRC-MONOPLEX26</t>
        </is>
      </c>
      <c r="C81" s="217" t="inlineStr">
        <is>
          <t>Ferco</t>
        </is>
      </c>
      <c r="D81" s="216" t="inlineStr">
        <is>
          <t>50% TT advance + 50% balance</t>
        </is>
      </c>
      <c r="E81" s="217" t="inlineStr">
        <is>
          <t>기타</t>
        </is>
      </c>
      <c r="F81" s="218" t="n">
        <v>46048</v>
      </c>
      <c r="G81" s="219" t="n">
        <v>46133</v>
      </c>
      <c r="H81" s="220" t="n">
        <v>51952</v>
      </c>
      <c r="I81" s="221">
        <f>IFERROR(VLOOKUP(B81,RemitTable2,7,FALSE),0)</f>
        <v/>
      </c>
      <c r="J81" s="222" t="n">
        <v>75818749</v>
      </c>
      <c r="K81" s="222" t="n">
        <v>75818749</v>
      </c>
      <c r="L81" s="222" t="n">
        <v>25000</v>
      </c>
      <c r="M81" s="222" t="n">
        <v>16000</v>
      </c>
      <c r="N81" s="216" t="inlineStr">
        <is>
          <t>Cinema Seat (Recliner) / 44 EA / Monoplex DH Bangbae</t>
        </is>
      </c>
      <c r="O81" s="219" t="n">
        <v>46153</v>
      </c>
      <c r="P81" s="216" t="inlineStr">
        <is>
          <t>14008-26-101147M</t>
        </is>
      </c>
      <c r="Q81" s="220">
        <f>IF(P81="","",IFERROR(VLOOKUP(O81,FxRateTable,4,TRUE),""))</f>
        <v/>
      </c>
      <c r="R81" s="220">
        <f>IF(P81="","",H81)</f>
        <v/>
      </c>
      <c r="S81" s="222" t="n">
        <v>31050</v>
      </c>
      <c r="T81" s="222" t="n">
        <v>7959560</v>
      </c>
      <c r="U81" s="218" t="n"/>
      <c r="V81" s="216" t="inlineStr">
        <is>
          <t>조운관세사무소</t>
        </is>
      </c>
      <c r="W81" s="222" t="n">
        <v>250000</v>
      </c>
      <c r="X81" s="217" t="inlineStr">
        <is>
          <t>진로직스</t>
        </is>
      </c>
      <c r="Y81" s="222" t="n">
        <v>5233502</v>
      </c>
      <c r="Z81" s="222">
        <f>S81+W81</f>
        <v/>
      </c>
      <c r="AA81" s="222">
        <f>K81+L81+M81+IFERROR(VLOOKUP(B81,RemitTable2,9,FALSE),0)+Y81+Z81</f>
        <v/>
      </c>
      <c r="AB81" s="223" t="n">
        <v>44</v>
      </c>
      <c r="AC81" s="222">
        <f>ROUND(AA81/AB81,0)</f>
        <v/>
      </c>
      <c r="AD81" s="216" t="inlineStr">
        <is>
          <t>2026-05</t>
        </is>
      </c>
      <c r="AE81" s="219" t="n"/>
      <c r="AF81" s="218" t="n"/>
    </row>
    <row r="82" ht="15.75" customHeight="1">
      <c r="A82" s="284" t="n">
        <v>78</v>
      </c>
      <c r="B82" s="284" t="inlineStr">
        <is>
          <t>GPO475-수리</t>
        </is>
      </c>
      <c r="C82" s="285" t="inlineStr">
        <is>
          <t>GDC</t>
        </is>
      </c>
      <c r="D82" s="284" t="inlineStr">
        <is>
          <t>Net 30 days</t>
        </is>
      </c>
      <c r="E82" s="285" t="inlineStr">
        <is>
          <t>수리</t>
        </is>
      </c>
      <c r="F82" s="286" t="n">
        <v>46126</v>
      </c>
      <c r="G82" s="287" t="n">
        <v>46190</v>
      </c>
      <c r="H82" s="288" t="n">
        <v>1500</v>
      </c>
      <c r="I82" s="289" t="n">
        <v>1516.8</v>
      </c>
      <c r="J82" s="290" t="n">
        <v>2275200</v>
      </c>
      <c r="K82" s="290" t="n">
        <v>2275200</v>
      </c>
      <c r="L82" s="290" t="n">
        <v>5515</v>
      </c>
      <c r="M82" s="290" t="n">
        <v>5882</v>
      </c>
      <c r="N82" s="284" t="inlineStr">
        <is>
          <t>SR-1000 IMB Inspection+Repair (SN A78267)</t>
        </is>
      </c>
      <c r="O82" s="287" t="n"/>
      <c r="P82" s="284" t="n"/>
      <c r="Q82" s="288">
        <f>IF(P82="","",IFERROR(VLOOKUP(O82,FxRateTable,4,TRUE),""))</f>
        <v/>
      </c>
      <c r="R82" s="290">
        <f>IF(P82="","",H82)</f>
        <v/>
      </c>
      <c r="S82" s="290" t="n">
        <v>0</v>
      </c>
      <c r="T82" s="290" t="n">
        <v>0</v>
      </c>
      <c r="U82" s="286" t="n"/>
      <c r="V82" s="284" t="n"/>
      <c r="W82" s="290" t="n">
        <v>0</v>
      </c>
      <c r="X82" s="285" t="inlineStr">
        <is>
          <t>-</t>
        </is>
      </c>
      <c r="Y82" s="290" t="n">
        <v>0</v>
      </c>
      <c r="Z82" s="290">
        <f>S82+W82</f>
        <v/>
      </c>
      <c r="AA82" s="290">
        <f>K82+L82+M82+IFERROR(VLOOKUP(B82,RemitTable2,9,FALSE),0)+Y82+Z82</f>
        <v/>
      </c>
      <c r="AB82" s="291" t="n">
        <v>1</v>
      </c>
      <c r="AC82" s="290">
        <f>ROUND(AA82/AB82,0)</f>
        <v/>
      </c>
      <c r="AD82" s="284" t="n"/>
      <c r="AE82" s="287" t="n"/>
      <c r="AF82" s="286" t="n"/>
    </row>
    <row r="83">
      <c r="A83" s="147" t="inlineStr">
        <is>
          <t>장비/부품 합계</t>
        </is>
      </c>
      <c r="B83" s="148" t="n"/>
      <c r="C83" s="148" t="n"/>
      <c r="D83" s="148" t="n"/>
      <c r="E83" s="148" t="n"/>
      <c r="F83" s="148" t="n"/>
      <c r="G83" s="149" t="n"/>
      <c r="H83" s="142">
        <f>SUBTOTAL(9,H5:H50)</f>
        <v/>
      </c>
      <c r="I83" s="141" t="n"/>
      <c r="J83" s="142">
        <f>SUBTOTAL(9,J5:J50)</f>
        <v/>
      </c>
      <c r="K83" s="142">
        <f>SUBTOTAL(9,K5:K50)</f>
        <v/>
      </c>
      <c r="L83" s="142">
        <f>SUBTOTAL(9,L5:L50)</f>
        <v/>
      </c>
      <c r="M83" s="142">
        <f>SUBTOTAL(9,M5:M50)</f>
        <v/>
      </c>
      <c r="N83" s="141" t="n"/>
      <c r="O83" s="141" t="n"/>
      <c r="P83" s="141" t="n"/>
      <c r="Q83" s="142" t="n"/>
      <c r="R83" s="140" t="n"/>
      <c r="S83" s="142">
        <f>SUBTOTAL(9,S5:S50)</f>
        <v/>
      </c>
      <c r="T83" s="142">
        <f>SUBTOTAL(9,T5:T50)</f>
        <v/>
      </c>
      <c r="U83" s="147" t="n"/>
      <c r="V83" s="141" t="n"/>
      <c r="W83" s="142">
        <f>SUBTOTAL(9,W5:W50)</f>
        <v/>
      </c>
      <c r="X83" s="147" t="n"/>
      <c r="Y83" s="142">
        <f>SUBTOTAL(9,Y5:Y50)</f>
        <v/>
      </c>
      <c r="Z83" s="142">
        <f>SUBTOTAL(9,Z5:Z50)</f>
        <v/>
      </c>
      <c r="AA83" s="142">
        <f>SUBTOTAL(9,AA5:AA50)</f>
        <v/>
      </c>
      <c r="AB83" s="147" t="n"/>
      <c r="AC83" s="141" t="n"/>
      <c r="AD83" s="141" t="n"/>
      <c r="AE83" s="141" t="n"/>
      <c r="AF83" s="141" t="n"/>
    </row>
    <row r="84">
      <c r="A84" s="147" t="inlineStr">
        <is>
          <t>라이센스/워런티 합계</t>
        </is>
      </c>
      <c r="B84" s="148" t="n"/>
      <c r="C84" s="148" t="n"/>
      <c r="D84" s="148" t="n"/>
      <c r="E84" s="148" t="n"/>
      <c r="F84" s="148" t="n"/>
      <c r="G84" s="149" t="n"/>
      <c r="H84" s="142">
        <f>SUBTOTAL(9,H51:H78)</f>
        <v/>
      </c>
      <c r="I84" s="141" t="n"/>
      <c r="J84" s="142">
        <f>SUBTOTAL(9,J51:J78)</f>
        <v/>
      </c>
      <c r="K84" s="142">
        <f>SUBTOTAL(9,K51:K78)</f>
        <v/>
      </c>
      <c r="L84" s="142">
        <f>SUBTOTAL(9,L51:L78)</f>
        <v/>
      </c>
      <c r="M84" s="142">
        <f>SUBTOTAL(9,M51:M78)</f>
        <v/>
      </c>
      <c r="N84" s="141" t="n"/>
      <c r="O84" s="141" t="n"/>
      <c r="P84" s="141" t="n"/>
      <c r="Q84" s="142" t="n"/>
      <c r="R84" s="140" t="n"/>
      <c r="S84" s="142">
        <f>SUBTOTAL(9,S51:S78)</f>
        <v/>
      </c>
      <c r="T84" s="142">
        <f>SUBTOTAL(9,T51:T78)</f>
        <v/>
      </c>
      <c r="U84" s="147" t="n"/>
      <c r="V84" s="141" t="n"/>
      <c r="W84" s="142">
        <f>SUBTOTAL(9,W51:W78)</f>
        <v/>
      </c>
      <c r="X84" s="147" t="n"/>
      <c r="Y84" s="142">
        <f>SUBTOTAL(9,Y51:Y78)</f>
        <v/>
      </c>
      <c r="Z84" s="142">
        <f>SUBTOTAL(9,Z51:Z78)</f>
        <v/>
      </c>
      <c r="AA84" s="142">
        <f>SUBTOTAL(9,AA51:AA78)</f>
        <v/>
      </c>
      <c r="AB84" s="147" t="n"/>
      <c r="AC84" s="141" t="n"/>
      <c r="AD84" s="141" t="n"/>
      <c r="AE84" s="141" t="n"/>
      <c r="AF84" s="141" t="n"/>
    </row>
    <row r="85">
      <c r="A85" s="147" t="inlineStr">
        <is>
          <t>기타 합계</t>
        </is>
      </c>
      <c r="B85" s="148" t="n"/>
      <c r="C85" s="148" t="n"/>
      <c r="D85" s="148" t="n"/>
      <c r="E85" s="148" t="n"/>
      <c r="F85" s="148" t="n"/>
      <c r="G85" s="149" t="n"/>
      <c r="H85" s="142">
        <f>SUBTOTAL(9,H79:H82)</f>
        <v/>
      </c>
      <c r="I85" s="141" t="n"/>
      <c r="J85" s="142">
        <f>SUBTOTAL(9,J79:J82)</f>
        <v/>
      </c>
      <c r="K85" s="142">
        <f>SUBTOTAL(9,K79:K82)</f>
        <v/>
      </c>
      <c r="L85" s="142">
        <f>SUBTOTAL(9,L79:L82)</f>
        <v/>
      </c>
      <c r="M85" s="142">
        <f>SUBTOTAL(9,M79:M82)</f>
        <v/>
      </c>
      <c r="N85" s="141" t="n"/>
      <c r="O85" s="141" t="n"/>
      <c r="P85" s="141" t="n"/>
      <c r="Q85" s="142" t="n"/>
      <c r="R85" s="140" t="n"/>
      <c r="S85" s="142">
        <f>SUBTOTAL(9,S79:S82)</f>
        <v/>
      </c>
      <c r="T85" s="142">
        <f>SUBTOTAL(9,T79:T82)</f>
        <v/>
      </c>
      <c r="U85" s="147" t="n"/>
      <c r="V85" s="141" t="n"/>
      <c r="W85" s="142">
        <f>SUBTOTAL(9,W79:W82)</f>
        <v/>
      </c>
      <c r="X85" s="147" t="n"/>
      <c r="Y85" s="142">
        <f>SUBTOTAL(9,Y79:Y82)</f>
        <v/>
      </c>
      <c r="Z85" s="142">
        <f>SUBTOTAL(9,Z79:Z82)</f>
        <v/>
      </c>
      <c r="AA85" s="142">
        <f>SUBTOTAL(9,AA79:AA82)</f>
        <v/>
      </c>
      <c r="AB85" s="147" t="n"/>
      <c r="AC85" s="141" t="n"/>
      <c r="AD85" s="141" t="n"/>
      <c r="AE85" s="141" t="n"/>
      <c r="AF85" s="141" t="n"/>
    </row>
    <row r="86">
      <c r="A86" s="154" t="inlineStr">
        <is>
          <t>총 합계</t>
        </is>
      </c>
      <c r="B86" s="148" t="n"/>
      <c r="C86" s="148" t="n"/>
      <c r="D86" s="148" t="n"/>
      <c r="E86" s="148" t="n"/>
      <c r="F86" s="148" t="n"/>
      <c r="G86" s="149" t="n"/>
      <c r="H86" s="146">
        <f>SUBTOTAL(9,H5:H82)</f>
        <v/>
      </c>
      <c r="I86" s="145" t="n"/>
      <c r="J86" s="146">
        <f>SUBTOTAL(9,J5:J82)</f>
        <v/>
      </c>
      <c r="K86" s="146">
        <f>SUBTOTAL(9,K5:K82)</f>
        <v/>
      </c>
      <c r="L86" s="146">
        <f>SUBTOTAL(9,L5:L82)</f>
        <v/>
      </c>
      <c r="M86" s="146">
        <f>SUBTOTAL(9,M5:M82)</f>
        <v/>
      </c>
      <c r="N86" s="145" t="n"/>
      <c r="O86" s="145" t="n"/>
      <c r="P86" s="145" t="n"/>
      <c r="Q86" s="146" t="n"/>
      <c r="R86" s="144" t="n"/>
      <c r="S86" s="146">
        <f>SUBTOTAL(9,S5:S82)</f>
        <v/>
      </c>
      <c r="T86" s="146">
        <f>SUBTOTAL(9,T5:T82)</f>
        <v/>
      </c>
      <c r="U86" s="154" t="n"/>
      <c r="V86" s="145" t="n"/>
      <c r="W86" s="146">
        <f>SUBTOTAL(9,W5:W82)</f>
        <v/>
      </c>
      <c r="X86" s="154" t="n"/>
      <c r="Y86" s="146">
        <f>SUBTOTAL(9,Y5:Y82)</f>
        <v/>
      </c>
      <c r="Z86" s="146">
        <f>SUBTOTAL(9,Z5:Z82)</f>
        <v/>
      </c>
      <c r="AA86" s="146">
        <f>SUBTOTAL(9,AA5:AA82)</f>
        <v/>
      </c>
      <c r="AB86" s="154" t="n"/>
      <c r="AC86" s="145" t="n"/>
      <c r="AD86" s="145" t="n"/>
      <c r="AE86" s="145" t="n"/>
      <c r="AF86" s="145" t="n"/>
    </row>
    <row r="100">
      <c r="M100" s="40" t="n"/>
    </row>
  </sheetData>
  <mergeCells count="12">
    <mergeCell ref="A84:G84"/>
    <mergeCell ref="A85:G85"/>
    <mergeCell ref="G3:N3"/>
    <mergeCell ref="A1:AF1"/>
    <mergeCell ref="A83:G83"/>
    <mergeCell ref="AD3:AF3"/>
    <mergeCell ref="A86:G86"/>
    <mergeCell ref="X3:Z3"/>
    <mergeCell ref="A3:F3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라이센스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184" t="n">
        <v>46146</v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n">
        <v>46171</v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n">
        <v>46161</v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n">
        <v>46171</v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n">
        <v>46183</v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25">
      <c r="A25" s="224" t="n">
        <v>23</v>
      </c>
      <c r="B25" s="224" t="inlineStr">
        <is>
          <t>GPO475</t>
        </is>
      </c>
      <c r="C25" s="225" t="inlineStr">
        <is>
          <t>GDC</t>
        </is>
      </c>
      <c r="D25" s="225" t="inlineStr">
        <is>
          <t>라이센스</t>
        </is>
      </c>
      <c r="E25" s="226" t="n">
        <v>540</v>
      </c>
      <c r="F25" s="224" t="inlineStr">
        <is>
          <t>TMS-1000 License 6 screens (CGV 안동)</t>
        </is>
      </c>
      <c r="G25" s="227" t="n">
        <v>46127</v>
      </c>
      <c r="H25" s="227" t="n">
        <v>46190</v>
      </c>
      <c r="I25" s="227" t="n">
        <v>46143</v>
      </c>
      <c r="J25" s="227" t="n">
        <v>46507</v>
      </c>
      <c r="K25" s="224" t="inlineStr">
        <is>
          <t>라이센스</t>
        </is>
      </c>
      <c r="L25" s="228" t="n"/>
    </row>
    <row r="26">
      <c r="A26" s="224" t="n">
        <v>24</v>
      </c>
      <c r="B26" s="224" t="inlineStr">
        <is>
          <t>CPO702</t>
        </is>
      </c>
      <c r="C26" s="225" t="inlineStr">
        <is>
          <t>Christie</t>
        </is>
      </c>
      <c r="D26" s="225" t="inlineStr">
        <is>
          <t>워런티(EW)</t>
        </is>
      </c>
      <c r="E26" s="226" t="n">
        <v>32715</v>
      </c>
      <c r="F26" s="224" t="inlineStr">
        <is>
          <t>EW CP2215/CP2309-RGB 25대 (롯데 영천 외 8개소)</t>
        </is>
      </c>
      <c r="G26" s="227" t="n">
        <v>46181</v>
      </c>
      <c r="H26" s="227" t="inlineStr">
        <is>
          <t>-</t>
        </is>
      </c>
      <c r="I26" s="227" t="n">
        <v>46192</v>
      </c>
      <c r="J26" s="227" t="n">
        <v>46752</v>
      </c>
      <c r="K26" s="224" t="inlineStr">
        <is>
          <t>라이센스</t>
        </is>
      </c>
      <c r="L26" s="228" t="n"/>
      <c r="M26" s="160" t="n"/>
    </row>
    <row r="27">
      <c r="A27" s="224" t="n">
        <v>25</v>
      </c>
      <c r="B27" s="224" t="inlineStr">
        <is>
          <t>GPO486</t>
        </is>
      </c>
      <c r="C27" s="225" t="inlineStr">
        <is>
          <t>GDC</t>
        </is>
      </c>
      <c r="D27" s="225" t="inlineStr">
        <is>
          <t>라이센스</t>
        </is>
      </c>
      <c r="E27" s="226" t="n">
        <v>450</v>
      </c>
      <c r="F27" s="224" t="inlineStr">
        <is>
          <t>TMS-1000 License Ext 5screens (메가박스 경산 하양)</t>
        </is>
      </c>
      <c r="G27" s="227" t="n">
        <v>46182</v>
      </c>
      <c r="H27" s="227" t="inlineStr">
        <is>
          <t>-</t>
        </is>
      </c>
      <c r="I27" s="227" t="n">
        <v>46204</v>
      </c>
      <c r="J27" s="227" t="n">
        <v>46568</v>
      </c>
      <c r="K27" s="224" t="inlineStr">
        <is>
          <t>라이센스</t>
        </is>
      </c>
      <c r="L27" s="228" t="n"/>
      <c r="M27" s="160" t="n"/>
    </row>
    <row r="28">
      <c r="A28" s="224" t="n">
        <v>26</v>
      </c>
      <c r="B28" s="224" t="inlineStr">
        <is>
          <t>GPO484</t>
        </is>
      </c>
      <c r="C28" s="225" t="inlineStr">
        <is>
          <t>GDC</t>
        </is>
      </c>
      <c r="D28" s="225" t="inlineStr">
        <is>
          <t>워런티(EW)</t>
        </is>
      </c>
      <c r="E28" s="226" t="n">
        <v>7407.81</v>
      </c>
      <c r="F28" s="224" t="inlineStr">
        <is>
          <t>SR-1000/SX-4000 Warranty Ext 11대 (CGV 진주혁신 외)</t>
        </is>
      </c>
      <c r="G28" s="227" t="n">
        <v>46183</v>
      </c>
      <c r="H28" s="227" t="inlineStr">
        <is>
          <t>-</t>
        </is>
      </c>
      <c r="I28" s="227" t="n">
        <v>46156</v>
      </c>
      <c r="J28" s="227" t="n">
        <v>46752</v>
      </c>
      <c r="K28" s="224" t="inlineStr">
        <is>
          <t>라이센스</t>
        </is>
      </c>
      <c r="L28" s="228" t="n"/>
      <c r="M28" s="160" t="n"/>
    </row>
    <row r="29">
      <c r="A29" s="224" t="n">
        <v>27</v>
      </c>
      <c r="B29" s="224" t="inlineStr">
        <is>
          <t>GPO489</t>
        </is>
      </c>
      <c r="C29" s="225" t="inlineStr">
        <is>
          <t>GDC</t>
        </is>
      </c>
      <c r="D29" s="225" t="inlineStr">
        <is>
          <t>라이센스</t>
        </is>
      </c>
      <c r="E29" s="226" t="n">
        <v>3320</v>
      </c>
      <c r="F29" s="224" t="inlineStr">
        <is>
          <t>TMS License 7사이트 32screens (메가박스 삼천포 외)</t>
        </is>
      </c>
      <c r="G29" s="227" t="n">
        <v>46196</v>
      </c>
      <c r="H29" s="227" t="inlineStr">
        <is>
          <t>-</t>
        </is>
      </c>
      <c r="I29" s="227" t="n">
        <v>46204</v>
      </c>
      <c r="J29" s="227" t="n">
        <v>46568</v>
      </c>
      <c r="K29" s="224" t="inlineStr">
        <is>
          <t>라이센스</t>
        </is>
      </c>
      <c r="L29" s="228" t="n"/>
      <c r="M29" s="160" t="n"/>
    </row>
    <row r="30">
      <c r="A30" s="224" t="n">
        <v>28</v>
      </c>
      <c r="B30" s="224" t="inlineStr">
        <is>
          <t>GPO487</t>
        </is>
      </c>
      <c r="C30" s="225" t="inlineStr">
        <is>
          <t>GDC</t>
        </is>
      </c>
      <c r="D30" s="225" t="inlineStr">
        <is>
          <t>워런티(EW)</t>
        </is>
      </c>
      <c r="E30" s="226" t="n">
        <v>5309</v>
      </c>
      <c r="F30" s="224" t="inlineStr">
        <is>
          <t>SX-3000 EW 133대 (롯데, gross 33,309 차감 보상판매 Credit 28,000)</t>
        </is>
      </c>
      <c r="G30" s="227" t="inlineStr">
        <is>
          <t>-</t>
        </is>
      </c>
      <c r="H30" s="227" t="inlineStr">
        <is>
          <t>-</t>
        </is>
      </c>
      <c r="I30" s="227" t="n">
        <v>46204</v>
      </c>
      <c r="J30" s="227" t="n">
        <v>46387</v>
      </c>
      <c r="K30" s="224" t="inlineStr">
        <is>
          <t>라이센스</t>
        </is>
      </c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5233502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30">
      <c r="A30" s="241" t="inlineStr">
        <is>
          <t>14008-26-101140M</t>
        </is>
      </c>
      <c r="B30" s="241" t="inlineStr">
        <is>
          <t>CPO696-3</t>
        </is>
      </c>
      <c r="C30" s="242" t="n">
        <v>351274</v>
      </c>
      <c r="D30" s="243">
        <f>C30/C30</f>
        <v/>
      </c>
      <c r="E30" s="241" t="inlineStr">
        <is>
          <t>조운관세사무소</t>
        </is>
      </c>
      <c r="F30" s="244" t="n">
        <v>250000</v>
      </c>
      <c r="G30" s="241" t="inlineStr">
        <is>
          <t>조운관세사무소</t>
        </is>
      </c>
      <c r="H30" s="244" t="n">
        <v>3103207</v>
      </c>
      <c r="I30" s="241" t="inlineStr">
        <is>
          <t>단독</t>
        </is>
      </c>
      <c r="J30" s="241" t="n"/>
      <c r="K30" s="228" t="n"/>
      <c r="L30" s="228" t="n"/>
      <c r="M30" s="228" t="n"/>
    </row>
    <row r="31">
      <c r="A31" s="241" t="inlineStr">
        <is>
          <t>14008-26-101148M</t>
        </is>
      </c>
      <c r="B31" s="241" t="inlineStr">
        <is>
          <t>GPO473-1</t>
        </is>
      </c>
      <c r="C31" s="242" t="n">
        <v>98800</v>
      </c>
      <c r="D31" s="243">
        <f>C31/C31</f>
        <v/>
      </c>
      <c r="E31" s="241" t="inlineStr">
        <is>
          <t>조운관세사무소</t>
        </is>
      </c>
      <c r="F31" s="244" t="n">
        <v>250000</v>
      </c>
      <c r="G31" s="241" t="inlineStr">
        <is>
          <t>조운관세사무소</t>
        </is>
      </c>
      <c r="H31" s="244" t="n">
        <v>3636072</v>
      </c>
      <c r="I31" s="241" t="inlineStr">
        <is>
          <t>단독</t>
        </is>
      </c>
      <c r="J31" s="241" t="n"/>
      <c r="K31" s="228" t="n"/>
      <c r="L31" s="228" t="n"/>
      <c r="M31" s="228" t="n"/>
    </row>
    <row r="32">
      <c r="A32" s="241" t="inlineStr">
        <is>
          <t>14008-26-101168M</t>
        </is>
      </c>
      <c r="B32" s="241" t="inlineStr">
        <is>
          <t>CPO696-4</t>
        </is>
      </c>
      <c r="C32" s="242" t="n">
        <v>807233</v>
      </c>
      <c r="D32" s="243">
        <f>C32/C32</f>
        <v/>
      </c>
      <c r="E32" s="241" t="inlineStr">
        <is>
          <t>조운관세사무소</t>
        </is>
      </c>
      <c r="F32" s="244" t="n">
        <v>250000</v>
      </c>
      <c r="G32" s="241" t="inlineStr">
        <is>
          <t>조운관세사무소</t>
        </is>
      </c>
      <c r="H32" s="244" t="n">
        <v>3270326</v>
      </c>
      <c r="I32" s="241" t="inlineStr">
        <is>
          <t>단독</t>
        </is>
      </c>
      <c r="J32" s="241" t="n"/>
      <c r="K32" s="228" t="n"/>
      <c r="L32" s="228" t="n"/>
      <c r="M32" s="228" t="n"/>
    </row>
    <row r="33">
      <c r="A33" s="241" t="inlineStr">
        <is>
          <t>883504210357</t>
        </is>
      </c>
      <c r="B33" s="241" t="inlineStr">
        <is>
          <t>IPO016</t>
        </is>
      </c>
      <c r="C33" s="242" t="n">
        <v>6800</v>
      </c>
      <c r="D33" s="243">
        <f>C33/C33</f>
        <v/>
      </c>
      <c r="E33" s="241" t="inlineStr">
        <is>
          <t>인천세관(특송)</t>
        </is>
      </c>
      <c r="F33" s="244" t="n">
        <v>0</v>
      </c>
      <c r="G33" s="241" t="inlineStr">
        <is>
          <t>DHL</t>
        </is>
      </c>
      <c r="H33" s="244" t="n">
        <v>0</v>
      </c>
      <c r="I33" s="241" t="inlineStr">
        <is>
          <t>단독</t>
        </is>
      </c>
      <c r="J33" s="241" t="n"/>
      <c r="K33" s="228" t="n"/>
      <c r="L33" s="228" t="n"/>
      <c r="M33" s="228" t="n"/>
    </row>
    <row r="34">
      <c r="A34" s="241" t="inlineStr">
        <is>
          <t>22356-26-351613M</t>
        </is>
      </c>
      <c r="B34" s="241" t="inlineStr">
        <is>
          <t>SX3000수리</t>
        </is>
      </c>
      <c r="C34" s="242" t="n">
        <v>400</v>
      </c>
      <c r="D34" s="243">
        <f>C34/C34</f>
        <v/>
      </c>
      <c r="E34" s="241" t="inlineStr">
        <is>
          <t>운서합동관세사무소</t>
        </is>
      </c>
      <c r="F34" s="244" t="n">
        <v>0</v>
      </c>
      <c r="G34" s="241" t="inlineStr">
        <is>
          <t>DHL</t>
        </is>
      </c>
      <c r="H34" s="244" t="n">
        <v>216006</v>
      </c>
      <c r="I34" s="241" t="inlineStr">
        <is>
          <t>단독</t>
        </is>
      </c>
      <c r="J34" s="241" t="n"/>
      <c r="K34" s="228" t="n"/>
      <c r="L34" s="228" t="n"/>
      <c r="M34" s="228" t="n"/>
    </row>
    <row r="35">
      <c r="A35" s="241" t="inlineStr">
        <is>
          <t>2235626346781M</t>
        </is>
      </c>
      <c r="B35" s="241" t="inlineStr">
        <is>
          <t>CPO698</t>
        </is>
      </c>
      <c r="C35" s="242" t="n">
        <v>4290</v>
      </c>
      <c r="D35" s="243">
        <f>C35/C35</f>
        <v/>
      </c>
      <c r="E35" s="241" t="inlineStr">
        <is>
          <t>운서합동관세사무소</t>
        </is>
      </c>
      <c r="F35" s="244" t="n">
        <v>0</v>
      </c>
      <c r="G35" s="241" t="inlineStr">
        <is>
          <t>DHL</t>
        </is>
      </c>
      <c r="H35" s="244" t="n">
        <v>174806</v>
      </c>
      <c r="I35" s="241" t="inlineStr">
        <is>
          <t>단독</t>
        </is>
      </c>
      <c r="J35" s="241" t="n"/>
      <c r="K35" s="228" t="n"/>
      <c r="L35" s="228" t="n"/>
      <c r="M35" s="228" t="n"/>
    </row>
    <row r="36">
      <c r="A36" s="241" t="inlineStr">
        <is>
          <t>14008-26-101227M</t>
        </is>
      </c>
      <c r="B36" s="241" t="inlineStr">
        <is>
          <t>CPO696-5</t>
        </is>
      </c>
      <c r="C36" s="242" t="n">
        <v>346792</v>
      </c>
      <c r="D36" s="243">
        <f>C36/C36</f>
        <v/>
      </c>
      <c r="E36" s="241" t="inlineStr">
        <is>
          <t>조운관세사무소</t>
        </is>
      </c>
      <c r="F36" s="244" t="n">
        <v>286000</v>
      </c>
      <c r="G36" s="241" t="inlineStr">
        <is>
          <t>진로직스</t>
        </is>
      </c>
      <c r="H36" s="244" t="n">
        <v>2898404</v>
      </c>
      <c r="I36" s="241" t="inlineStr">
        <is>
          <t>단독</t>
        </is>
      </c>
      <c r="J36" s="241" t="inlineStr"/>
    </row>
    <row r="37" ht="15.75" customHeight="1">
      <c r="A37" s="292" t="inlineStr">
        <is>
          <t>14008-26-101275M</t>
        </is>
      </c>
      <c r="B37" s="292" t="inlineStr">
        <is>
          <t>MPO67</t>
        </is>
      </c>
      <c r="C37" s="293" t="n">
        <v>49138.8</v>
      </c>
      <c r="D37" s="294">
        <f>C37/(C37+C38)</f>
        <v/>
      </c>
      <c r="E37" s="292" t="inlineStr">
        <is>
          <t>조운관세사무소</t>
        </is>
      </c>
      <c r="F37" s="295">
        <f>ROUND(253000*D37,0)</f>
        <v/>
      </c>
      <c r="G37" s="292" t="inlineStr">
        <is>
          <t>진로직스</t>
        </is>
      </c>
      <c r="H37" s="295">
        <f>ROUND(17883555*D37,0)</f>
        <v/>
      </c>
      <c r="I37" s="292" t="inlineStr">
        <is>
          <t>합배송</t>
        </is>
      </c>
      <c r="J37" s="292" t="inlineStr">
        <is>
          <t>2건 합산(롯데/CJ미래원)</t>
        </is>
      </c>
    </row>
    <row r="38" ht="15.75" customHeight="1">
      <c r="A38" s="292" t="inlineStr"/>
      <c r="B38" s="292" t="inlineStr">
        <is>
          <t>MPO68</t>
        </is>
      </c>
      <c r="C38" s="293" t="n">
        <v>11587.2</v>
      </c>
      <c r="D38" s="294">
        <f>C38/(C37+C38)</f>
        <v/>
      </c>
      <c r="E38" s="292" t="inlineStr">
        <is>
          <t>조운관세사무소</t>
        </is>
      </c>
      <c r="F38" s="295">
        <f>253000-F37</f>
        <v/>
      </c>
      <c r="G38" s="292" t="inlineStr">
        <is>
          <t>진로직스</t>
        </is>
      </c>
      <c r="H38" s="295">
        <f>17883555-H37</f>
        <v/>
      </c>
      <c r="I38" s="292" t="inlineStr">
        <is>
          <t>합배송</t>
        </is>
      </c>
      <c r="J38" s="292" t="inlineStr"/>
    </row>
    <row r="39">
      <c r="A39" s="241" t="inlineStr">
        <is>
          <t>14008-26-101317M</t>
        </is>
      </c>
      <c r="B39" s="241" t="inlineStr">
        <is>
          <t>APO001</t>
        </is>
      </c>
      <c r="C39" s="242" t="n">
        <v>12400</v>
      </c>
      <c r="D39" s="243">
        <f>C39/C39</f>
        <v/>
      </c>
      <c r="E39" s="241" t="inlineStr">
        <is>
          <t>조운관세사무소</t>
        </is>
      </c>
      <c r="F39" s="244" t="n">
        <v>43010</v>
      </c>
      <c r="G39" s="241" t="inlineStr">
        <is>
          <t>진로직스</t>
        </is>
      </c>
      <c r="H39" s="244" t="n">
        <v>692650</v>
      </c>
      <c r="I39" s="241" t="inlineStr">
        <is>
          <t>단독</t>
        </is>
      </c>
      <c r="J39" s="241" t="n"/>
      <c r="K39" s="160" t="n"/>
      <c r="L39" s="160" t="n"/>
      <c r="M39" s="160" t="n"/>
    </row>
    <row r="40">
      <c r="A40" s="241" t="inlineStr">
        <is>
          <t>23176-26-472403M</t>
        </is>
      </c>
      <c r="B40" s="241" t="inlineStr">
        <is>
          <t>GPO483</t>
        </is>
      </c>
      <c r="C40" s="242" t="n">
        <v>14730</v>
      </c>
      <c r="D40" s="243">
        <f>C40/C40</f>
        <v/>
      </c>
      <c r="E40" s="241" t="inlineStr">
        <is>
          <t>스타합동관세사무소</t>
        </is>
      </c>
      <c r="F40" s="244" t="n">
        <v>0</v>
      </c>
      <c r="G40" s="241" t="inlineStr">
        <is>
          <t>Fedex</t>
        </is>
      </c>
      <c r="H40" s="244" t="n">
        <v>0</v>
      </c>
      <c r="I40" s="241" t="inlineStr">
        <is>
          <t>단독</t>
        </is>
      </c>
      <c r="J40" s="241" t="inlineStr">
        <is>
          <t>통관 결제금액 USD 15,870 (HDMI 모듈 3EA USD 1,140 포함)</t>
        </is>
      </c>
    </row>
    <row r="41">
      <c r="A41" s="241" t="inlineStr">
        <is>
          <t>23176-26-606930M</t>
        </is>
      </c>
      <c r="B41" s="241" t="inlineStr">
        <is>
          <t>CPO703</t>
        </is>
      </c>
      <c r="C41" s="242" t="n">
        <v>5445</v>
      </c>
      <c r="D41" s="243">
        <f>C41/(C41+C42)</f>
        <v/>
      </c>
      <c r="E41" s="241" t="inlineStr">
        <is>
          <t>스타합동관세사무소</t>
        </is>
      </c>
      <c r="F41" s="244" t="n">
        <v>0</v>
      </c>
      <c r="G41" s="241" t="inlineStr">
        <is>
          <t>Fedex</t>
        </is>
      </c>
      <c r="H41" s="244" t="n">
        <v>0</v>
      </c>
      <c r="I41" s="241" t="inlineStr">
        <is>
          <t>합배송</t>
        </is>
      </c>
      <c r="J41" s="241" t="inlineStr">
        <is>
          <t>2건 합산</t>
        </is>
      </c>
    </row>
    <row r="42">
      <c r="A42" s="241" t="n"/>
      <c r="B42" s="241" t="inlineStr">
        <is>
          <t>CPO701</t>
        </is>
      </c>
      <c r="C42" s="242" t="n">
        <v>54</v>
      </c>
      <c r="D42" s="243">
        <f>C42/(C41+C42)</f>
        <v/>
      </c>
      <c r="E42" s="241" t="inlineStr">
        <is>
          <t>스타합동관세사무소</t>
        </is>
      </c>
      <c r="F42" s="244" t="n">
        <v>0</v>
      </c>
      <c r="G42" s="241" t="inlineStr">
        <is>
          <t>Fedex</t>
        </is>
      </c>
      <c r="H42" s="244" t="n">
        <v>0</v>
      </c>
      <c r="I42" s="241" t="inlineStr">
        <is>
          <t>합배송</t>
        </is>
      </c>
      <c r="J42" s="241" t="n"/>
    </row>
    <row r="43">
      <c r="A43" s="241" t="inlineStr">
        <is>
          <t>23176-26-605075M</t>
        </is>
      </c>
      <c r="B43" s="241" t="inlineStr">
        <is>
          <t>GPO488</t>
        </is>
      </c>
      <c r="C43" s="242" t="n">
        <v>180</v>
      </c>
      <c r="D43" s="243">
        <f>C43/C43</f>
        <v/>
      </c>
      <c r="E43" s="241" t="inlineStr">
        <is>
          <t>스타합동관세사무소</t>
        </is>
      </c>
      <c r="F43" s="244" t="n">
        <v>0</v>
      </c>
      <c r="G43" s="241" t="inlineStr">
        <is>
          <t>Fedex</t>
        </is>
      </c>
      <c r="H43" s="244" t="n">
        <v>0</v>
      </c>
      <c r="I43" s="241" t="inlineStr">
        <is>
          <t>단독</t>
        </is>
      </c>
      <c r="J43" s="241" t="n"/>
    </row>
    <row r="44">
      <c r="A44" s="241" t="inlineStr">
        <is>
          <t>23176-26-618473M</t>
        </is>
      </c>
      <c r="B44" s="241" t="inlineStr">
        <is>
          <t>GPO493</t>
        </is>
      </c>
      <c r="C44" s="242" t="n">
        <v>4470</v>
      </c>
      <c r="D44" s="243">
        <f>C44/C44</f>
        <v/>
      </c>
      <c r="E44" s="241" t="inlineStr">
        <is>
          <t>스타합동관세사무소</t>
        </is>
      </c>
      <c r="F44" s="244" t="n">
        <v>0</v>
      </c>
      <c r="G44" s="241" t="inlineStr">
        <is>
          <t>Fedex</t>
        </is>
      </c>
      <c r="H44" s="244" t="n">
        <v>0</v>
      </c>
      <c r="I44" s="241" t="inlineStr">
        <is>
          <t>단독</t>
        </is>
      </c>
      <c r="J44" s="241" t="n"/>
    </row>
    <row r="45">
      <c r="A45" s="241" t="inlineStr">
        <is>
          <t>14008-26-101364M</t>
        </is>
      </c>
      <c r="B45" s="241" t="inlineStr">
        <is>
          <t>GPO482</t>
        </is>
      </c>
      <c r="C45" s="242" t="n">
        <v>329510</v>
      </c>
      <c r="D45" s="243">
        <f>C45/(C45+C46)</f>
        <v/>
      </c>
      <c r="E45" s="241" t="inlineStr">
        <is>
          <t>조운관세사무소</t>
        </is>
      </c>
      <c r="F45" s="244" t="n">
        <v>0</v>
      </c>
      <c r="G45" s="241" t="inlineStr">
        <is>
          <t>훼밀리익스프레스</t>
        </is>
      </c>
      <c r="H45" s="244" t="n">
        <v>0</v>
      </c>
      <c r="I45" s="241" t="inlineStr">
        <is>
          <t>합배송</t>
        </is>
      </c>
      <c r="J45" s="241" t="inlineStr">
        <is>
          <t>2건 합산</t>
        </is>
      </c>
    </row>
    <row r="46">
      <c r="A46" s="241" t="n"/>
      <c r="B46" s="241" t="inlineStr">
        <is>
          <t>GPO485</t>
        </is>
      </c>
      <c r="C46" s="242" t="n">
        <v>5600</v>
      </c>
      <c r="D46" s="243">
        <f>C46/(C45+C46)</f>
        <v/>
      </c>
      <c r="E46" s="241" t="inlineStr">
        <is>
          <t>조운관세사무소</t>
        </is>
      </c>
      <c r="F46" s="244" t="n">
        <v>0</v>
      </c>
      <c r="G46" s="241" t="inlineStr">
        <is>
          <t>훼밀리익스프레스</t>
        </is>
      </c>
      <c r="H46" s="244" t="n">
        <v>0</v>
      </c>
      <c r="I46" s="241" t="inlineStr">
        <is>
          <t>합배송</t>
        </is>
      </c>
      <c r="J46" s="241" t="n"/>
    </row>
    <row r="47">
      <c r="A47" s="241" t="inlineStr">
        <is>
          <t>14008-26-101205M</t>
        </is>
      </c>
      <c r="B47" s="241" t="inlineStr">
        <is>
          <t>EPO18</t>
        </is>
      </c>
      <c r="C47" s="242" t="n">
        <v>4388.4</v>
      </c>
      <c r="D47" s="243">
        <f>C47/C47</f>
        <v/>
      </c>
      <c r="E47" s="241" t="inlineStr">
        <is>
          <t>조운관세사무소</t>
        </is>
      </c>
      <c r="F47" s="244" t="n">
        <v>0</v>
      </c>
      <c r="G47" s="241" t="inlineStr">
        <is>
          <t>진로직스</t>
        </is>
      </c>
      <c r="H47" s="244" t="n">
        <v>0</v>
      </c>
      <c r="I47" s="241" t="inlineStr">
        <is>
          <t>단독</t>
        </is>
      </c>
      <c r="J47" s="241" t="inlineStr">
        <is>
          <t>EUR 결제 건</t>
        </is>
      </c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Christie</t>
        </is>
      </c>
      <c r="D5" s="3" t="inlineStr">
        <is>
          <t>CPO-669</t>
        </is>
      </c>
      <c r="E5" s="33" t="n">
        <v>7410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2025.12.09</t>
        </is>
      </c>
      <c r="C6" s="4" t="inlineStr">
        <is>
          <t>Christie</t>
        </is>
      </c>
      <c r="D6" s="3" t="inlineStr">
        <is>
          <t>CPO675,677,CPO-664-2</t>
        </is>
      </c>
      <c r="E6" s="33" t="n">
        <v>6024</v>
      </c>
      <c r="F6" s="7" t="n">
        <v>1473.3</v>
      </c>
      <c r="G6" s="33" t="n">
        <v>20</v>
      </c>
      <c r="H6" s="9" t="n">
        <v>10000</v>
      </c>
      <c r="I6" s="9" t="n">
        <v>8000</v>
      </c>
      <c r="J6" s="9" t="n">
        <v>8922625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GDC</t>
        </is>
      </c>
      <c r="D7" s="3" t="inlineStr">
        <is>
          <t>GPO449,450,452,453,454</t>
        </is>
      </c>
      <c r="E7" s="33" t="n">
        <v>7862</v>
      </c>
      <c r="F7" s="7" t="n">
        <v>1473.2</v>
      </c>
      <c r="G7" s="33" t="n">
        <v>20</v>
      </c>
      <c r="H7" s="9" t="n">
        <v>10000</v>
      </c>
      <c r="I7" s="9" t="n">
        <v>8000</v>
      </c>
      <c r="J7" s="9" t="n">
        <v>11629762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2025.12.16</t>
        </is>
      </c>
      <c r="C8" s="4" t="inlineStr">
        <is>
          <t>MAG</t>
        </is>
      </c>
      <c r="D8" s="3" t="inlineStr">
        <is>
          <t>MPO-65,64</t>
        </is>
      </c>
      <c r="E8" s="33" t="n">
        <v>15040</v>
      </c>
      <c r="F8" s="7" t="n">
        <v>1480</v>
      </c>
      <c r="G8" s="33" t="n">
        <v>20</v>
      </c>
      <c r="H8" s="9" t="n">
        <v>10000</v>
      </c>
      <c r="I8" s="9" t="n">
        <v>8000</v>
      </c>
      <c r="J8" s="9" t="n">
        <v>22306800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Christie</t>
        </is>
      </c>
      <c r="D9" s="3" t="inlineStr">
        <is>
          <t>CPO-679,CPO-678-1</t>
        </is>
      </c>
      <c r="E9" s="33" t="n">
        <v>143557</v>
      </c>
      <c r="F9" s="7" t="n">
        <v>1479.7</v>
      </c>
      <c r="G9" s="33" t="n">
        <v>20</v>
      </c>
      <c r="H9" s="9" t="n">
        <v>12500</v>
      </c>
      <c r="I9" s="9" t="n">
        <v>8000</v>
      </c>
      <c r="J9" s="9" t="n">
        <v>212471386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2025.12.29</t>
        </is>
      </c>
      <c r="C10" s="4" t="inlineStr">
        <is>
          <t>GDC</t>
        </is>
      </c>
      <c r="D10" s="3" t="inlineStr">
        <is>
          <t>GPO451,458,455,456,457</t>
        </is>
      </c>
      <c r="E10" s="33" t="n">
        <v>13860</v>
      </c>
      <c r="F10" s="7" t="n">
        <v>1439.1</v>
      </c>
      <c r="G10" s="33" t="n">
        <v>20</v>
      </c>
      <c r="H10" s="9" t="n">
        <v>10000</v>
      </c>
      <c r="I10" s="9" t="n">
        <v>8000</v>
      </c>
      <c r="J10" s="9" t="n">
        <v>18264679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2025.12.30</t>
        </is>
      </c>
      <c r="C11" s="4" t="inlineStr">
        <is>
          <t>Christie</t>
        </is>
      </c>
      <c r="D11" s="3" t="inlineStr">
        <is>
          <t>CPO676</t>
        </is>
      </c>
      <c r="E11" s="33" t="n">
        <v>36060</v>
      </c>
      <c r="F11" s="7" t="n">
        <v>1442.7</v>
      </c>
      <c r="G11" s="33" t="n">
        <v>20</v>
      </c>
      <c r="H11" s="9" t="n">
        <v>12500</v>
      </c>
      <c r="I11" s="9" t="n">
        <v>8000</v>
      </c>
      <c r="J11" s="9" t="n">
        <v>52073116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2026.01.13</t>
        </is>
      </c>
      <c r="C12" s="4" t="inlineStr">
        <is>
          <t>Christie</t>
        </is>
      </c>
      <c r="D12" s="3" t="inlineStr">
        <is>
          <t>CPO680</t>
        </is>
      </c>
      <c r="E12" s="33" t="n">
        <v>252</v>
      </c>
      <c r="F12" s="7" t="n">
        <v>1479</v>
      </c>
      <c r="G12" s="33" t="n">
        <v>20</v>
      </c>
      <c r="H12" s="9" t="n">
        <v>2500</v>
      </c>
      <c r="I12" s="9" t="n">
        <v>8000</v>
      </c>
      <c r="J12" s="9" t="n">
        <v>412788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2026.01.21</t>
        </is>
      </c>
      <c r="C13" s="4" t="inlineStr">
        <is>
          <t>GDC</t>
        </is>
      </c>
      <c r="D13" s="3" t="inlineStr">
        <is>
          <t>GPO459,460,461</t>
        </is>
      </c>
      <c r="E13" s="33" t="n">
        <v>3700</v>
      </c>
      <c r="F13" s="7" t="n">
        <v>1475.7</v>
      </c>
      <c r="G13" s="33" t="n">
        <v>20</v>
      </c>
      <c r="H13" s="9" t="n">
        <v>7500</v>
      </c>
      <c r="I13" s="9" t="n">
        <v>8000</v>
      </c>
      <c r="J13" s="9" t="n">
        <v>5505104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2026.01.21</t>
        </is>
      </c>
      <c r="C14" s="4" t="inlineStr">
        <is>
          <t>MAG</t>
        </is>
      </c>
      <c r="D14" s="3" t="inlineStr">
        <is>
          <t>MPO-66</t>
        </is>
      </c>
      <c r="E14" s="33" t="n">
        <v>9626.35</v>
      </c>
      <c r="F14" s="7" t="n">
        <v>1476</v>
      </c>
      <c r="G14" s="33" t="n">
        <v>20</v>
      </c>
      <c r="H14" s="9" t="n">
        <v>10000</v>
      </c>
      <c r="I14" s="9" t="n">
        <v>8000</v>
      </c>
      <c r="J14" s="9" t="n">
        <v>14256012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2026.01.30</t>
        </is>
      </c>
      <c r="C15" s="4" t="inlineStr">
        <is>
          <t>Lemon</t>
        </is>
      </c>
      <c r="D15" s="3" t="inlineStr">
        <is>
          <t>LPO-001</t>
        </is>
      </c>
      <c r="E15" s="33" t="n">
        <v>5056.8</v>
      </c>
      <c r="F15" s="7" t="n">
        <v>1445.5</v>
      </c>
      <c r="G15" s="33" t="n">
        <v>20</v>
      </c>
      <c r="H15" s="9" t="n">
        <v>10000</v>
      </c>
      <c r="I15" s="9" t="n">
        <v>8000</v>
      </c>
      <c r="J15" s="9" t="n">
        <v>7356514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2026.01.30</t>
        </is>
      </c>
      <c r="C16" s="4" t="inlineStr">
        <is>
          <t>Monoplex</t>
        </is>
      </c>
      <c r="D16" s="3" t="inlineStr">
        <is>
          <t>MONOPLEX20260126-01</t>
        </is>
      </c>
      <c r="E16" s="33" t="n">
        <v>25976</v>
      </c>
      <c r="F16" s="7" t="n">
        <v>1445.5</v>
      </c>
      <c r="G16" s="33" t="n">
        <v>20</v>
      </c>
      <c r="H16" s="9" t="n">
        <v>12500</v>
      </c>
      <c r="I16" s="9" t="n">
        <v>8000</v>
      </c>
      <c r="J16" s="9" t="n">
        <v>37597718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2026.02.04</t>
        </is>
      </c>
      <c r="C17" s="4" t="inlineStr">
        <is>
          <t>Christie</t>
        </is>
      </c>
      <c r="D17" s="3" t="inlineStr">
        <is>
          <t>CPO-682,683</t>
        </is>
      </c>
      <c r="E17" s="33" t="n">
        <v>24794</v>
      </c>
      <c r="F17" s="7" t="n">
        <v>1454.7</v>
      </c>
      <c r="G17" s="33" t="n">
        <v>20</v>
      </c>
      <c r="H17" s="9" t="n">
        <v>12500</v>
      </c>
      <c r="I17" s="9" t="n">
        <v>8000</v>
      </c>
      <c r="J17" s="9" t="n">
        <v>36117425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2026.02.04</t>
        </is>
      </c>
      <c r="C18" s="4" t="inlineStr">
        <is>
          <t>GDC</t>
        </is>
      </c>
      <c r="D18" s="3" t="inlineStr">
        <is>
          <t>GPO462,463,464</t>
        </is>
      </c>
      <c r="E18" s="33" t="n">
        <v>11599.57</v>
      </c>
      <c r="F18" s="7" t="n">
        <v>1453.6</v>
      </c>
      <c r="G18" s="33" t="n">
        <v>20</v>
      </c>
      <c r="H18" s="9" t="n">
        <v>10000</v>
      </c>
      <c r="I18" s="9" t="n">
        <v>8000</v>
      </c>
      <c r="J18" s="9" t="n">
        <v>16908206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2026.02.11</t>
        </is>
      </c>
      <c r="C19" s="4" t="inlineStr">
        <is>
          <t>Christie</t>
        </is>
      </c>
      <c r="D19" s="3" t="inlineStr">
        <is>
          <t>CPO681</t>
        </is>
      </c>
      <c r="E19" s="33" t="n">
        <v>26358</v>
      </c>
      <c r="F19" s="7" t="n">
        <v>1460.7</v>
      </c>
      <c r="G19" s="33" t="n">
        <v>20</v>
      </c>
      <c r="H19" s="9" t="n">
        <v>12500</v>
      </c>
      <c r="I19" s="9" t="n">
        <v>8000</v>
      </c>
      <c r="J19" s="9" t="n">
        <v>38550844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2026.02.19</t>
        </is>
      </c>
      <c r="C20" s="4" t="inlineStr">
        <is>
          <t>Christie</t>
        </is>
      </c>
      <c r="D20" s="3" t="inlineStr">
        <is>
          <t>CPO686,CPO689</t>
        </is>
      </c>
      <c r="E20" s="33" t="n">
        <v>17538</v>
      </c>
      <c r="F20" s="7" t="n">
        <v>1451.7</v>
      </c>
      <c r="G20" s="33" t="n">
        <v>20</v>
      </c>
      <c r="H20" s="9" t="n">
        <v>10000</v>
      </c>
      <c r="I20" s="9" t="n">
        <v>8000</v>
      </c>
      <c r="J20" s="9" t="n">
        <v>25506948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2026.02.27</t>
        </is>
      </c>
      <c r="C21" s="4" t="inlineStr">
        <is>
          <t>Christie</t>
        </is>
      </c>
      <c r="D21" s="3" t="inlineStr">
        <is>
          <t>CPO685,667</t>
        </is>
      </c>
      <c r="E21" s="33" t="n">
        <v>142189</v>
      </c>
      <c r="F21" s="7" t="n">
        <v>1441.6</v>
      </c>
      <c r="G21" s="33" t="n">
        <v>20</v>
      </c>
      <c r="H21" s="9" t="n">
        <v>12500</v>
      </c>
      <c r="I21" s="9" t="n">
        <v>8000</v>
      </c>
      <c r="J21" s="9" t="n">
        <v>205028994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2026.03.06</t>
        </is>
      </c>
      <c r="C22" s="4" t="inlineStr">
        <is>
          <t>Christie</t>
        </is>
      </c>
      <c r="D22" s="3" t="inlineStr">
        <is>
          <t>CPO678-2</t>
        </is>
      </c>
      <c r="E22" s="33" t="n">
        <v>137850</v>
      </c>
      <c r="F22" s="7" t="n">
        <v>1477.6</v>
      </c>
      <c r="G22" s="33" t="n">
        <v>20</v>
      </c>
      <c r="H22" s="9" t="n">
        <v>12500</v>
      </c>
      <c r="I22" s="9" t="n">
        <v>8000</v>
      </c>
      <c r="J22" s="9" t="n">
        <v>203737212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2026.04.01</t>
        </is>
      </c>
      <c r="C23" s="4" t="inlineStr">
        <is>
          <t>Christie</t>
        </is>
      </c>
      <c r="D23" s="3" t="inlineStr">
        <is>
          <t>CPO690,691</t>
        </is>
      </c>
      <c r="E23" s="33" t="n">
        <v>34354</v>
      </c>
      <c r="F23" s="7" t="n">
        <v>1505.7</v>
      </c>
      <c r="G23" s="33" t="n">
        <v>20</v>
      </c>
      <c r="H23" s="9" t="n">
        <v>12500</v>
      </c>
      <c r="I23" s="9" t="n">
        <v>8000</v>
      </c>
      <c r="J23" s="9" t="n">
        <v>51777431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2026.04.01</t>
        </is>
      </c>
      <c r="C24" s="4" t="inlineStr">
        <is>
          <t>GDC</t>
        </is>
      </c>
      <c r="D24" s="3" t="inlineStr">
        <is>
          <t>GPO469,467,470,471</t>
        </is>
      </c>
      <c r="E24" s="33" t="n">
        <v>6553.05</v>
      </c>
      <c r="F24" s="7" t="n">
        <v>1506.4</v>
      </c>
      <c r="G24" s="33" t="n">
        <v>20</v>
      </c>
      <c r="H24" s="9" t="n">
        <v>10000</v>
      </c>
      <c r="I24" s="9" t="n">
        <v>8000</v>
      </c>
      <c r="J24" s="9" t="n">
        <v>9919642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2026.04.14</t>
        </is>
      </c>
      <c r="C25" s="4" t="inlineStr">
        <is>
          <t>GDC</t>
        </is>
      </c>
      <c r="D25" s="3" t="inlineStr">
        <is>
          <t>GPO468-1, 472, 468-2</t>
        </is>
      </c>
      <c r="E25" s="33" t="n">
        <v>57650</v>
      </c>
      <c r="F25" s="7" t="n">
        <v>1481.9</v>
      </c>
      <c r="G25" s="33" t="n">
        <v>20</v>
      </c>
      <c r="H25" s="9" t="n">
        <v>12500</v>
      </c>
      <c r="I25" s="9" t="n">
        <v>8000</v>
      </c>
      <c r="J25" s="9" t="n">
        <v>85481673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96" t="n">
        <v>24</v>
      </c>
      <c r="B26" s="96" t="inlineStr">
        <is>
          <t>2026.04.21</t>
        </is>
      </c>
      <c r="C26" s="97" t="inlineStr">
        <is>
          <t>Ferco</t>
        </is>
      </c>
      <c r="D26" s="96" t="inlineStr">
        <is>
          <t>MONOPLEX20260126-01</t>
        </is>
      </c>
      <c r="E26" s="98" t="n">
        <v>25976</v>
      </c>
      <c r="F26" s="196" t="n">
        <v>1473.3</v>
      </c>
      <c r="G26" s="98" t="n">
        <v>20</v>
      </c>
      <c r="H26" s="99" t="n">
        <v>12500</v>
      </c>
      <c r="I26" s="99" t="n">
        <v>8000</v>
      </c>
      <c r="J26" s="99" t="n">
        <v>38320406</v>
      </c>
      <c r="K26" s="99">
        <f>ROUND((E26+G26)*F26+H26+I26,0)</f>
        <v/>
      </c>
      <c r="L26" s="100">
        <f>J26-K26</f>
        <v/>
      </c>
      <c r="M26" s="115" t="n"/>
    </row>
    <row r="27" ht="15.75" customHeight="1">
      <c r="A27" s="96" t="n">
        <v>25</v>
      </c>
      <c r="B27" s="96" t="inlineStr">
        <is>
          <t>2026.04.22</t>
        </is>
      </c>
      <c r="C27" s="97" t="inlineStr">
        <is>
          <t>Christie</t>
        </is>
      </c>
      <c r="D27" s="96" t="inlineStr">
        <is>
          <t>CPO692(692-1, 692-2)</t>
        </is>
      </c>
      <c r="E27" s="98" t="n">
        <v>297580</v>
      </c>
      <c r="F27" s="196" t="n">
        <v>1482.8</v>
      </c>
      <c r="G27" s="98" t="n">
        <v>20</v>
      </c>
      <c r="H27" s="99" t="n">
        <v>12500</v>
      </c>
      <c r="I27" s="99" t="n">
        <v>8000</v>
      </c>
      <c r="J27" s="99" t="n">
        <v>441301780</v>
      </c>
      <c r="K27" s="99">
        <f>ROUND((E27+G27)*F27+H27+I27,0)</f>
        <v/>
      </c>
      <c r="L27" s="100">
        <f>J27-K27</f>
        <v/>
      </c>
      <c r="M27" s="115" t="n"/>
    </row>
    <row r="28" ht="15.75" customHeight="1">
      <c r="A28" s="96" t="n">
        <v>26</v>
      </c>
      <c r="B28" s="96" t="inlineStr">
        <is>
          <t>2026.04.22</t>
        </is>
      </c>
      <c r="C28" s="97" t="inlineStr">
        <is>
          <t>MAICO Italia (EUR)</t>
        </is>
      </c>
      <c r="D28" s="96" t="inlineStr">
        <is>
          <t>EPO18</t>
        </is>
      </c>
      <c r="E28" s="98" t="n">
        <v>4388.4</v>
      </c>
      <c r="F28" s="196" t="n">
        <v>1741.08</v>
      </c>
      <c r="G28" s="98" t="n">
        <v>25</v>
      </c>
      <c r="H28" s="99" t="n">
        <v>10000</v>
      </c>
      <c r="I28" s="99" t="n">
        <v>8000</v>
      </c>
      <c r="J28" s="99" t="n">
        <v>7702082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116" t="n">
        <v>27</v>
      </c>
      <c r="B29" s="116" t="inlineStr">
        <is>
          <t>2026.05.04</t>
        </is>
      </c>
      <c r="C29" s="117" t="inlineStr">
        <is>
          <t>Christie</t>
        </is>
      </c>
      <c r="D29" s="116" t="inlineStr">
        <is>
          <t>CPO694, CPO695-1, CPO695-2</t>
        </is>
      </c>
      <c r="E29" s="118" t="n">
        <v>21439</v>
      </c>
      <c r="F29" s="197" t="n">
        <v>1474.9</v>
      </c>
      <c r="G29" s="118" t="n">
        <v>20</v>
      </c>
      <c r="H29" s="120" t="n">
        <v>12500</v>
      </c>
      <c r="I29" s="120" t="n">
        <v>8000</v>
      </c>
      <c r="J29" s="120" t="n">
        <v>31670379</v>
      </c>
      <c r="K29" s="120">
        <f>ROUND((E29+G29)*F29+H29+I29,0)</f>
        <v/>
      </c>
      <c r="L29" s="121">
        <f>J29-K29</f>
        <v/>
      </c>
      <c r="M29" s="114" t="n"/>
    </row>
    <row r="30" ht="15.75" customHeight="1">
      <c r="A30" s="116" t="n">
        <v>28</v>
      </c>
      <c r="B30" s="116" t="inlineStr">
        <is>
          <t>2026.05.04</t>
        </is>
      </c>
      <c r="C30" s="117" t="inlineStr">
        <is>
          <t>Integ Process Group</t>
        </is>
      </c>
      <c r="D30" s="116" t="inlineStr">
        <is>
          <t>IPO016 (JNR-410)</t>
        </is>
      </c>
      <c r="E30" s="118" t="n">
        <v>6800</v>
      </c>
      <c r="F30" s="197" t="n">
        <v>1475.2</v>
      </c>
      <c r="G30" s="118" t="n">
        <v>20</v>
      </c>
      <c r="H30" s="120" t="n">
        <v>10000</v>
      </c>
      <c r="I30" s="120" t="n">
        <v>8000</v>
      </c>
      <c r="J30" s="120" t="n">
        <v>10078864</v>
      </c>
      <c r="K30" s="120">
        <f>ROUND((E30+G30)*F30+H30+I30,0)</f>
        <v/>
      </c>
      <c r="L30" s="121">
        <f>J30-K30</f>
        <v/>
      </c>
      <c r="M30" s="114" t="n"/>
    </row>
    <row r="31" ht="15.75" customHeight="1">
      <c r="A31" s="116" t="n">
        <v>29</v>
      </c>
      <c r="B31" s="116" t="inlineStr">
        <is>
          <t>2026.05.12</t>
        </is>
      </c>
      <c r="C31" s="117" t="inlineStr">
        <is>
          <t>Ferco</t>
        </is>
      </c>
      <c r="D31" s="116" t="inlineStr">
        <is>
          <t>PI44133-1</t>
        </is>
      </c>
      <c r="E31" s="118" t="n">
        <v>4416</v>
      </c>
      <c r="F31" s="197" t="n">
        <v>1755.24</v>
      </c>
      <c r="G31" s="118" t="n">
        <v>25</v>
      </c>
      <c r="H31" s="120" t="n">
        <v>10000</v>
      </c>
      <c r="I31" s="120" t="n">
        <v>8000</v>
      </c>
      <c r="J31" s="120" t="n">
        <v>7813020</v>
      </c>
      <c r="K31" s="120">
        <f>ROUND((E31+G31)*F31+H31+I31,0)</f>
        <v/>
      </c>
      <c r="L31" s="121">
        <f>J31-K31</f>
        <v/>
      </c>
    </row>
    <row r="32" ht="15.75" customHeight="1">
      <c r="A32" s="116" t="n">
        <v>30</v>
      </c>
      <c r="B32" s="116" t="inlineStr">
        <is>
          <t>2026.05.19</t>
        </is>
      </c>
      <c r="C32" s="117" t="inlineStr">
        <is>
          <t>GDC</t>
        </is>
      </c>
      <c r="D32" s="116" t="inlineStr">
        <is>
          <t>GPO478</t>
        </is>
      </c>
      <c r="E32" s="118" t="n">
        <v>180</v>
      </c>
      <c r="F32" s="197" t="n">
        <v>1518.9</v>
      </c>
      <c r="G32" s="118" t="n">
        <v>20</v>
      </c>
      <c r="H32" s="120" t="n">
        <v>2500</v>
      </c>
      <c r="I32" s="120" t="n">
        <v>8000</v>
      </c>
      <c r="J32" s="120" t="n">
        <v>314280</v>
      </c>
      <c r="K32" s="120">
        <f>ROUND((E32+G32)*F32+H32+I32,0)</f>
        <v/>
      </c>
      <c r="L32" s="121">
        <f>J32-K32</f>
        <v/>
      </c>
    </row>
    <row r="33" ht="15.75" customHeight="1">
      <c r="A33" s="116" t="n">
        <v>31</v>
      </c>
      <c r="B33" s="116" t="inlineStr">
        <is>
          <t>2026.05.20</t>
        </is>
      </c>
      <c r="C33" s="117" t="inlineStr">
        <is>
          <t>Christie</t>
        </is>
      </c>
      <c r="D33" s="116" t="inlineStr">
        <is>
          <t>CPO698</t>
        </is>
      </c>
      <c r="E33" s="118" t="n">
        <v>4290</v>
      </c>
      <c r="F33" s="197" t="n">
        <v>1510.6</v>
      </c>
      <c r="G33" s="118" t="n">
        <v>20</v>
      </c>
      <c r="H33" s="120" t="n">
        <v>7500</v>
      </c>
      <c r="I33" s="120" t="n">
        <v>8000</v>
      </c>
      <c r="J33" s="120" t="n">
        <v>6526186</v>
      </c>
      <c r="K33" s="120">
        <f>ROUND((E33+G33)*F33+H33+I33,0)</f>
        <v/>
      </c>
      <c r="L33" s="121">
        <f>J33-K33</f>
        <v/>
      </c>
    </row>
    <row r="34" ht="15.75" customHeight="1">
      <c r="A34" s="116" t="n">
        <v>32</v>
      </c>
      <c r="B34" s="116" t="inlineStr">
        <is>
          <t>2026.05.29</t>
        </is>
      </c>
      <c r="C34" s="117" t="inlineStr">
        <is>
          <t>GDC</t>
        </is>
      </c>
      <c r="D34" s="116" t="inlineStr">
        <is>
          <t>GPO480, GPO479, GPO473-1</t>
        </is>
      </c>
      <c r="E34" s="118" t="n">
        <v>99140</v>
      </c>
      <c r="F34" s="197" t="n">
        <v>1502.8</v>
      </c>
      <c r="G34" s="118" t="n">
        <v>20</v>
      </c>
      <c r="H34" s="120" t="n">
        <v>12500</v>
      </c>
      <c r="I34" s="120" t="n">
        <v>8000</v>
      </c>
      <c r="J34" s="120" t="n">
        <v>149038148</v>
      </c>
      <c r="K34" s="120">
        <f>ROUND((E34+G34)*F34+H34+I34,0)</f>
        <v/>
      </c>
      <c r="L34" s="121">
        <f>J34-K34</f>
        <v/>
      </c>
    </row>
    <row r="35" ht="15.75" customHeight="1">
      <c r="A35" s="116" t="n">
        <v>33</v>
      </c>
      <c r="B35" s="116" t="inlineStr">
        <is>
          <t>2026.05.29</t>
        </is>
      </c>
      <c r="C35" s="117" t="inlineStr">
        <is>
          <t>Christie</t>
        </is>
      </c>
      <c r="D35" s="116" t="inlineStr">
        <is>
          <t>CPO697, CPO696-1, CPO696-2</t>
        </is>
      </c>
      <c r="E35" s="118" t="n">
        <v>101638</v>
      </c>
      <c r="F35" s="197" t="n">
        <v>1502.7</v>
      </c>
      <c r="G35" s="118" t="n">
        <v>20</v>
      </c>
      <c r="H35" s="120" t="n">
        <v>12500</v>
      </c>
      <c r="I35" s="120" t="n">
        <v>8000</v>
      </c>
      <c r="J35" s="120" t="n">
        <v>152781976</v>
      </c>
      <c r="K35" s="120">
        <f>ROUND((E35+G35)*F35+H35+I35,0)</f>
        <v/>
      </c>
      <c r="L35" s="121">
        <f>J35-K35</f>
        <v/>
      </c>
    </row>
    <row r="36" ht="15.75" customHeight="1">
      <c r="A36" s="234" t="n">
        <v>34</v>
      </c>
      <c r="B36" s="234" t="inlineStr">
        <is>
          <t>2026.06.10</t>
        </is>
      </c>
      <c r="C36" s="235" t="inlineStr">
        <is>
          <t>GDC</t>
        </is>
      </c>
      <c r="D36" s="234" t="inlineStr">
        <is>
          <t>GPO481, GPO473-2, GPO473-3</t>
        </is>
      </c>
      <c r="E36" s="236" t="n">
        <v>119060</v>
      </c>
      <c r="F36" s="237" t="n">
        <v>1525.3</v>
      </c>
      <c r="G36" s="236" t="n">
        <v>20</v>
      </c>
      <c r="H36" s="238" t="n">
        <v>12500</v>
      </c>
      <c r="I36" s="238" t="n">
        <v>8000</v>
      </c>
      <c r="J36" s="238" t="n">
        <v>181653224</v>
      </c>
      <c r="K36" s="238">
        <f>ROUND((E36+G36)*F36+H36+I36,0)</f>
        <v/>
      </c>
      <c r="L36" s="239">
        <f>J36-K36</f>
        <v/>
      </c>
    </row>
    <row r="37" ht="15.75" customHeight="1">
      <c r="A37" s="234" t="n">
        <v>35</v>
      </c>
      <c r="B37" s="234" t="inlineStr">
        <is>
          <t>2026.06.17</t>
        </is>
      </c>
      <c r="C37" s="235" t="inlineStr">
        <is>
          <t>Christie</t>
        </is>
      </c>
      <c r="D37" s="234" t="inlineStr">
        <is>
          <t>CPO696-3</t>
        </is>
      </c>
      <c r="E37" s="236" t="n">
        <v>351274</v>
      </c>
      <c r="F37" s="237" t="n">
        <v>1518</v>
      </c>
      <c r="G37" s="236" t="n">
        <v>20</v>
      </c>
      <c r="H37" s="238" t="n">
        <v>12500</v>
      </c>
      <c r="I37" s="238" t="n">
        <v>8000</v>
      </c>
      <c r="J37" s="238" t="n">
        <v>533284792</v>
      </c>
      <c r="K37" s="238">
        <f>ROUND((E37+G37)*F37+H37+I37,0)</f>
        <v/>
      </c>
      <c r="L37" s="239">
        <f>J37-K37</f>
        <v/>
      </c>
    </row>
    <row r="38" ht="15.75" customHeight="1">
      <c r="A38" s="234" t="n">
        <v>36</v>
      </c>
      <c r="B38" s="234" t="inlineStr">
        <is>
          <t>2026.06.17</t>
        </is>
      </c>
      <c r="C38" s="235" t="inlineStr">
        <is>
          <t>Appotronics</t>
        </is>
      </c>
      <c r="D38" s="234" t="inlineStr">
        <is>
          <t>APO001 (S20-C2220-BEAB)</t>
        </is>
      </c>
      <c r="E38" s="236" t="n">
        <v>12400</v>
      </c>
      <c r="F38" s="237" t="n">
        <v>1517.1</v>
      </c>
      <c r="G38" s="236" t="n">
        <v>20</v>
      </c>
      <c r="H38" s="238" t="n">
        <v>10000</v>
      </c>
      <c r="I38" s="238" t="n">
        <v>8000</v>
      </c>
      <c r="J38" s="238" t="n">
        <v>18860382</v>
      </c>
      <c r="K38" s="238">
        <f>ROUND((E38+G38)*F38+H38+I38,0)</f>
        <v/>
      </c>
      <c r="L38" s="239">
        <f>J38-K38</f>
        <v/>
      </c>
    </row>
    <row r="39" ht="15.75" customHeight="1">
      <c r="A39" s="234" t="n">
        <v>37</v>
      </c>
      <c r="B39" s="234" t="inlineStr">
        <is>
          <t>2026.06.17</t>
        </is>
      </c>
      <c r="C39" s="235" t="inlineStr">
        <is>
          <t>MMK Europe</t>
        </is>
      </c>
      <c r="D39" s="234" t="inlineStr">
        <is>
          <t>MPO67, MPO68</t>
        </is>
      </c>
      <c r="E39" s="236" t="n">
        <v>60726</v>
      </c>
      <c r="F39" s="237" t="n">
        <v>1517.3</v>
      </c>
      <c r="G39" s="236" t="n">
        <v>20</v>
      </c>
      <c r="H39" s="238" t="n">
        <v>12500</v>
      </c>
      <c r="I39" s="238" t="n">
        <v>8000</v>
      </c>
      <c r="J39" s="238" t="n">
        <v>92190405</v>
      </c>
      <c r="K39" s="238">
        <f>ROUND((E39+G39)*F39+H39+I39,0)</f>
        <v/>
      </c>
      <c r="L39" s="239">
        <f>J39-K39</f>
        <v/>
      </c>
    </row>
    <row r="40" ht="15.75" customHeight="1">
      <c r="A40" s="234" t="n">
        <v>38</v>
      </c>
      <c r="B40" s="234" t="inlineStr">
        <is>
          <t>2026.06.17</t>
        </is>
      </c>
      <c r="C40" s="235" t="inlineStr">
        <is>
          <t>GDC</t>
        </is>
      </c>
      <c r="D40" s="234" t="inlineStr">
        <is>
          <t>GPO475, SR-1000수리</t>
        </is>
      </c>
      <c r="E40" s="236" t="n">
        <v>2040</v>
      </c>
      <c r="F40" s="237" t="n">
        <v>1516.8</v>
      </c>
      <c r="G40" s="236" t="n">
        <v>20</v>
      </c>
      <c r="H40" s="238" t="n">
        <v>7500</v>
      </c>
      <c r="I40" s="238" t="n">
        <v>8000</v>
      </c>
      <c r="J40" s="238" t="n">
        <v>3140108</v>
      </c>
      <c r="K40" s="238">
        <f>ROUND((E40+G40)*F40+H40+I40,0)</f>
        <v/>
      </c>
      <c r="L40" s="239">
        <f>J40-K40</f>
        <v/>
      </c>
    </row>
    <row r="41" ht="15.75" customHeight="1">
      <c r="A41" s="169" t="inlineStr">
        <is>
          <t>② PO별 비용 안분 내역</t>
        </is>
      </c>
      <c r="B41" s="148" t="n"/>
      <c r="C41" s="148" t="n"/>
      <c r="D41" s="148" t="n"/>
      <c r="E41" s="148" t="n"/>
      <c r="F41" s="148" t="n"/>
      <c r="G41" s="148" t="n"/>
      <c r="H41" s="148" t="n"/>
      <c r="I41" s="148" t="n"/>
      <c r="J41" s="148" t="n"/>
      <c r="K41" s="148" t="n"/>
      <c r="L41" s="149" t="n"/>
      <c r="M41" s="115" t="n"/>
    </row>
    <row r="42" ht="15.75" customHeight="1">
      <c r="A42" s="150" t="inlineStr">
        <is>
          <t>PO No.</t>
        </is>
      </c>
      <c r="B42" s="150" t="inlineStr">
        <is>
          <t>송금일</t>
        </is>
      </c>
      <c r="C42" s="150" t="inlineStr">
        <is>
          <t>업체</t>
        </is>
      </c>
      <c r="D42" s="150" t="inlineStr">
        <is>
          <t>PO USD</t>
        </is>
      </c>
      <c r="E42" s="150" t="inlineStr">
        <is>
          <t>그룹총USD</t>
        </is>
      </c>
      <c r="F42" s="150" t="inlineStr">
        <is>
          <t>배부비율</t>
        </is>
      </c>
      <c r="G42" s="150" t="inlineStr">
        <is>
          <t>적용환율</t>
        </is>
      </c>
      <c r="H42" s="150" t="inlineStr">
        <is>
          <t>원화환산액</t>
        </is>
      </c>
      <c r="I42" s="150" t="inlineStr">
        <is>
          <t>중개수수료안분</t>
        </is>
      </c>
      <c r="J42" s="150" t="inlineStr">
        <is>
          <t>수수료안분</t>
        </is>
      </c>
      <c r="K42" s="150" t="inlineStr">
        <is>
          <t>전신료안분</t>
        </is>
      </c>
      <c r="L42" s="150" t="inlineStr">
        <is>
          <t>합계</t>
        </is>
      </c>
      <c r="M42" s="115" t="n"/>
    </row>
    <row r="43" ht="15.75" customHeight="1">
      <c r="A43" s="116" t="inlineStr">
        <is>
          <t>CPO678-1</t>
        </is>
      </c>
      <c r="B43" s="116" t="inlineStr">
        <is>
          <t>2025.12.16</t>
        </is>
      </c>
      <c r="C43" s="117" t="inlineStr">
        <is>
          <t>Christie</t>
        </is>
      </c>
      <c r="D43" s="118" t="n">
        <v>139083</v>
      </c>
      <c r="E43" s="118" t="n">
        <v>143557</v>
      </c>
      <c r="F43" s="122" t="n">
        <v>0.968835</v>
      </c>
      <c r="G43" s="118" t="n">
        <v>1479.7</v>
      </c>
      <c r="H43" s="120" t="n">
        <v>205801115</v>
      </c>
      <c r="I43" s="120" t="n">
        <v>28672</v>
      </c>
      <c r="J43" s="120" t="n">
        <v>12110</v>
      </c>
      <c r="K43" s="120" t="n">
        <v>7751</v>
      </c>
      <c r="L43" s="121" t="n">
        <v>205849648</v>
      </c>
      <c r="M43" s="115" t="n"/>
    </row>
    <row r="44" ht="15.75" customHeight="1">
      <c r="A44" s="116" t="inlineStr">
        <is>
          <t>CPO679</t>
        </is>
      </c>
      <c r="B44" s="116" t="inlineStr">
        <is>
          <t>2025.12.16</t>
        </is>
      </c>
      <c r="C44" s="117" t="inlineStr">
        <is>
          <t>Christie</t>
        </is>
      </c>
      <c r="D44" s="118" t="n">
        <v>4474</v>
      </c>
      <c r="E44" s="118" t="n">
        <v>143557</v>
      </c>
      <c r="F44" s="122" t="n">
        <v>0.031165</v>
      </c>
      <c r="G44" s="118" t="n">
        <v>1479.7</v>
      </c>
      <c r="H44" s="120" t="n">
        <v>6620178</v>
      </c>
      <c r="I44" s="120" t="n">
        <v>922</v>
      </c>
      <c r="J44" s="120" t="n">
        <v>390</v>
      </c>
      <c r="K44" s="120" t="n">
        <v>249</v>
      </c>
      <c r="L44" s="121" t="n">
        <v>6621739</v>
      </c>
      <c r="M44" s="115" t="n"/>
    </row>
    <row r="45" ht="15.75" customHeight="1">
      <c r="A45" s="116" t="inlineStr">
        <is>
          <t>MPO65</t>
        </is>
      </c>
      <c r="B45" s="116" t="inlineStr">
        <is>
          <t>2025.12.16</t>
        </is>
      </c>
      <c r="C45" s="117" t="inlineStr">
        <is>
          <t>MAG</t>
        </is>
      </c>
      <c r="D45" s="118" t="n">
        <v>4936</v>
      </c>
      <c r="E45" s="118" t="n">
        <v>15040</v>
      </c>
      <c r="F45" s="122" t="n">
        <v>0.328191</v>
      </c>
      <c r="G45" s="118" t="n">
        <v>1480</v>
      </c>
      <c r="H45" s="120" t="n">
        <v>7305280</v>
      </c>
      <c r="I45" s="120" t="n">
        <v>9714</v>
      </c>
      <c r="J45" s="120" t="n">
        <v>3282</v>
      </c>
      <c r="K45" s="120" t="n">
        <v>2626</v>
      </c>
      <c r="L45" s="121" t="n">
        <v>7320902</v>
      </c>
      <c r="M45" s="115" t="n"/>
    </row>
    <row r="46" ht="15.75" customHeight="1">
      <c r="A46" s="116" t="inlineStr">
        <is>
          <t>GPO451</t>
        </is>
      </c>
      <c r="B46" s="116" t="inlineStr">
        <is>
          <t>2025.12.29</t>
        </is>
      </c>
      <c r="C46" s="117" t="inlineStr">
        <is>
          <t>GDC</t>
        </is>
      </c>
      <c r="D46" s="118" t="n">
        <v>9060</v>
      </c>
      <c r="E46" s="118" t="n">
        <v>13860</v>
      </c>
      <c r="F46" s="122" t="n">
        <v>0.65368</v>
      </c>
      <c r="G46" s="118" t="n">
        <v>1439.1</v>
      </c>
      <c r="H46" s="120" t="n">
        <v>13038246</v>
      </c>
      <c r="I46" s="120" t="n">
        <v>18814</v>
      </c>
      <c r="J46" s="120" t="n">
        <v>6537</v>
      </c>
      <c r="K46" s="120" t="n">
        <v>5229</v>
      </c>
      <c r="L46" s="121" t="n">
        <v>13068826</v>
      </c>
      <c r="M46" s="115" t="n"/>
    </row>
    <row r="47" ht="15.75" customHeight="1">
      <c r="A47" s="116" t="inlineStr">
        <is>
          <t>GPO458</t>
        </is>
      </c>
      <c r="B47" s="116" t="inlineStr">
        <is>
          <t>2025.12.29</t>
        </is>
      </c>
      <c r="C47" s="117" t="inlineStr">
        <is>
          <t>GDC</t>
        </is>
      </c>
      <c r="D47" s="118" t="n">
        <v>350</v>
      </c>
      <c r="E47" s="118" t="n">
        <v>13860</v>
      </c>
      <c r="F47" s="122" t="n">
        <v>0.025253</v>
      </c>
      <c r="G47" s="118" t="n">
        <v>1439.1</v>
      </c>
      <c r="H47" s="120" t="n">
        <v>503685</v>
      </c>
      <c r="I47" s="120" t="n">
        <v>727</v>
      </c>
      <c r="J47" s="120" t="n">
        <v>253</v>
      </c>
      <c r="K47" s="120" t="n">
        <v>202</v>
      </c>
      <c r="L47" s="121" t="n">
        <v>504867</v>
      </c>
      <c r="M47" s="115" t="n"/>
    </row>
    <row r="48" ht="15.75" customHeight="1">
      <c r="A48" s="116" t="inlineStr">
        <is>
          <t>CPO680</t>
        </is>
      </c>
      <c r="B48" s="116" t="inlineStr">
        <is>
          <t>2026.01.13</t>
        </is>
      </c>
      <c r="C48" s="117" t="inlineStr">
        <is>
          <t>Christie</t>
        </is>
      </c>
      <c r="D48" s="118" t="n">
        <v>252</v>
      </c>
      <c r="E48" s="118" t="n">
        <v>252</v>
      </c>
      <c r="F48" s="122" t="n">
        <v>1</v>
      </c>
      <c r="G48" s="118" t="n">
        <v>1479</v>
      </c>
      <c r="H48" s="120" t="n">
        <v>372708</v>
      </c>
      <c r="I48" s="120" t="n">
        <v>29580</v>
      </c>
      <c r="J48" s="120" t="n">
        <v>2500</v>
      </c>
      <c r="K48" s="120" t="n">
        <v>8000</v>
      </c>
      <c r="L48" s="121" t="n">
        <v>412788</v>
      </c>
      <c r="M48" s="115" t="n"/>
    </row>
    <row r="49" ht="15.75" customHeight="1">
      <c r="A49" s="116" t="inlineStr">
        <is>
          <t>GPO459</t>
        </is>
      </c>
      <c r="B49" s="116" t="inlineStr">
        <is>
          <t>2026.01.21</t>
        </is>
      </c>
      <c r="C49" s="117" t="inlineStr">
        <is>
          <t>GDC</t>
        </is>
      </c>
      <c r="D49" s="118" t="n">
        <v>450</v>
      </c>
      <c r="E49" s="118" t="n">
        <v>3700</v>
      </c>
      <c r="F49" s="122" t="n">
        <v>0.121622</v>
      </c>
      <c r="G49" s="118" t="n">
        <v>1475.7</v>
      </c>
      <c r="H49" s="120" t="n">
        <v>664065</v>
      </c>
      <c r="I49" s="120" t="n">
        <v>3590</v>
      </c>
      <c r="J49" s="120" t="n">
        <v>912</v>
      </c>
      <c r="K49" s="120" t="n">
        <v>973</v>
      </c>
      <c r="L49" s="121" t="n">
        <v>669540</v>
      </c>
      <c r="M49" s="115" t="n"/>
    </row>
    <row r="50" ht="15.75" customHeight="1">
      <c r="A50" s="116" t="inlineStr">
        <is>
          <t>GPO460</t>
        </is>
      </c>
      <c r="B50" s="116" t="inlineStr">
        <is>
          <t>2026.01.21</t>
        </is>
      </c>
      <c r="C50" s="117" t="inlineStr">
        <is>
          <t>GDC</t>
        </is>
      </c>
      <c r="D50" s="118" t="n">
        <v>2710</v>
      </c>
      <c r="E50" s="118" t="n">
        <v>3700</v>
      </c>
      <c r="F50" s="122" t="n">
        <v>0.732432</v>
      </c>
      <c r="G50" s="118" t="n">
        <v>1475.7</v>
      </c>
      <c r="H50" s="120" t="n">
        <v>3999147</v>
      </c>
      <c r="I50" s="120" t="n">
        <v>21617</v>
      </c>
      <c r="J50" s="120" t="n">
        <v>5493</v>
      </c>
      <c r="K50" s="120" t="n">
        <v>5859</v>
      </c>
      <c r="L50" s="121" t="n">
        <v>4032116</v>
      </c>
      <c r="M50" s="115" t="n"/>
    </row>
    <row r="51" ht="15.75" customHeight="1">
      <c r="A51" s="116" t="inlineStr">
        <is>
          <t>GPO461</t>
        </is>
      </c>
      <c r="B51" s="116" t="inlineStr">
        <is>
          <t>2026.01.21</t>
        </is>
      </c>
      <c r="C51" s="117" t="inlineStr">
        <is>
          <t>GDC</t>
        </is>
      </c>
      <c r="D51" s="118" t="n">
        <v>540</v>
      </c>
      <c r="E51" s="118" t="n">
        <v>3700</v>
      </c>
      <c r="F51" s="122" t="n">
        <v>0.145946</v>
      </c>
      <c r="G51" s="118" t="n">
        <v>1475.7</v>
      </c>
      <c r="H51" s="120" t="n">
        <v>796878</v>
      </c>
      <c r="I51" s="120" t="n">
        <v>4307</v>
      </c>
      <c r="J51" s="120" t="n">
        <v>1095</v>
      </c>
      <c r="K51" s="120" t="n">
        <v>1168</v>
      </c>
      <c r="L51" s="121" t="n">
        <v>803448</v>
      </c>
      <c r="M51" s="115" t="n"/>
    </row>
    <row r="52" ht="15.75" customHeight="1">
      <c r="A52" s="116" t="inlineStr">
        <is>
          <t>MPO66</t>
        </is>
      </c>
      <c r="B52" s="116" t="inlineStr">
        <is>
          <t>2026.01.21</t>
        </is>
      </c>
      <c r="C52" s="117" t="inlineStr">
        <is>
          <t>MAG</t>
        </is>
      </c>
      <c r="D52" s="118" t="n">
        <v>9626.35</v>
      </c>
      <c r="E52" s="118" t="n">
        <v>9626.35</v>
      </c>
      <c r="F52" s="122" t="n">
        <v>1</v>
      </c>
      <c r="G52" s="118" t="n">
        <v>1476</v>
      </c>
      <c r="H52" s="120" t="n">
        <v>14208493</v>
      </c>
      <c r="I52" s="120" t="n">
        <v>29520</v>
      </c>
      <c r="J52" s="120" t="n">
        <v>10000</v>
      </c>
      <c r="K52" s="120" t="n">
        <v>8000</v>
      </c>
      <c r="L52" s="121" t="n">
        <v>14256013</v>
      </c>
      <c r="M52" s="115" t="n"/>
    </row>
    <row r="53" ht="15.75" customHeight="1">
      <c r="A53" s="116" t="inlineStr">
        <is>
          <t>LPO001</t>
        </is>
      </c>
      <c r="B53" s="116" t="inlineStr">
        <is>
          <t>2026.01.30</t>
        </is>
      </c>
      <c r="C53" s="117" t="inlineStr">
        <is>
          <t>Lemon</t>
        </is>
      </c>
      <c r="D53" s="118" t="n">
        <v>5056.8</v>
      </c>
      <c r="E53" s="118" t="n">
        <v>5056.8</v>
      </c>
      <c r="F53" s="122" t="n">
        <v>1</v>
      </c>
      <c r="G53" s="118" t="n">
        <v>1445.5</v>
      </c>
      <c r="H53" s="120" t="n">
        <v>7309604</v>
      </c>
      <c r="I53" s="120" t="n">
        <v>28910</v>
      </c>
      <c r="J53" s="120" t="n">
        <v>10000</v>
      </c>
      <c r="K53" s="120" t="n">
        <v>8000</v>
      </c>
      <c r="L53" s="121" t="n">
        <v>7356514</v>
      </c>
      <c r="M53" s="115" t="n"/>
    </row>
    <row r="54" ht="15.75" customHeight="1">
      <c r="A54" s="116" t="inlineStr">
        <is>
          <t>CPO682</t>
        </is>
      </c>
      <c r="B54" s="116" t="inlineStr">
        <is>
          <t>2026.02.04</t>
        </is>
      </c>
      <c r="C54" s="117" t="inlineStr">
        <is>
          <t>Christie</t>
        </is>
      </c>
      <c r="D54" s="118" t="n">
        <v>20174</v>
      </c>
      <c r="E54" s="118" t="n">
        <v>24794</v>
      </c>
      <c r="F54" s="122" t="n">
        <v>0.813665</v>
      </c>
      <c r="G54" s="118" t="n">
        <v>1454.7</v>
      </c>
      <c r="H54" s="120" t="n">
        <v>29347118</v>
      </c>
      <c r="I54" s="120" t="n">
        <v>23673</v>
      </c>
      <c r="J54" s="120" t="n">
        <v>10171</v>
      </c>
      <c r="K54" s="120" t="n">
        <v>6509</v>
      </c>
      <c r="L54" s="121" t="n">
        <v>29387471</v>
      </c>
      <c r="M54" s="115" t="n"/>
    </row>
    <row r="55" ht="15.75" customHeight="1">
      <c r="A55" s="116" t="inlineStr">
        <is>
          <t>CPO683</t>
        </is>
      </c>
      <c r="B55" s="116" t="inlineStr">
        <is>
          <t>2026.02.04</t>
        </is>
      </c>
      <c r="C55" s="117" t="inlineStr">
        <is>
          <t>Christie</t>
        </is>
      </c>
      <c r="D55" s="118" t="n">
        <v>4620</v>
      </c>
      <c r="E55" s="118" t="n">
        <v>24794</v>
      </c>
      <c r="F55" s="122" t="n">
        <v>0.186335</v>
      </c>
      <c r="G55" s="118" t="n">
        <v>1454.7</v>
      </c>
      <c r="H55" s="120" t="n">
        <v>6720714</v>
      </c>
      <c r="I55" s="120" t="n">
        <v>5421</v>
      </c>
      <c r="J55" s="120" t="n">
        <v>2329</v>
      </c>
      <c r="K55" s="120" t="n">
        <v>1491</v>
      </c>
      <c r="L55" s="121" t="n">
        <v>6729955</v>
      </c>
      <c r="M55" s="115" t="n"/>
    </row>
    <row r="56" ht="15.75" customHeight="1">
      <c r="A56" s="116" t="inlineStr">
        <is>
          <t>GPO462</t>
        </is>
      </c>
      <c r="B56" s="116" t="inlineStr">
        <is>
          <t>2026.02.04</t>
        </is>
      </c>
      <c r="C56" s="117" t="inlineStr">
        <is>
          <t>GDC</t>
        </is>
      </c>
      <c r="D56" s="118" t="n">
        <v>1440</v>
      </c>
      <c r="E56" s="118" t="n">
        <v>11599.57</v>
      </c>
      <c r="F56" s="122" t="n">
        <v>0.124143</v>
      </c>
      <c r="G56" s="118" t="n">
        <v>1453.6</v>
      </c>
      <c r="H56" s="120" t="n">
        <v>2093184</v>
      </c>
      <c r="I56" s="120" t="n">
        <v>3609</v>
      </c>
      <c r="J56" s="120" t="n">
        <v>1241</v>
      </c>
      <c r="K56" s="120" t="n">
        <v>993</v>
      </c>
      <c r="L56" s="121" t="n">
        <v>2099027</v>
      </c>
      <c r="M56" s="115" t="n"/>
    </row>
    <row r="57" ht="15.75" customHeight="1">
      <c r="A57" s="116" t="inlineStr">
        <is>
          <t>GPO463</t>
        </is>
      </c>
      <c r="B57" s="116" t="inlineStr">
        <is>
          <t>2026.02.04</t>
        </is>
      </c>
      <c r="C57" s="117" t="inlineStr">
        <is>
          <t>GDC</t>
        </is>
      </c>
      <c r="D57" s="118" t="n">
        <v>4489</v>
      </c>
      <c r="E57" s="118" t="n">
        <v>11599.57</v>
      </c>
      <c r="F57" s="122" t="n">
        <v>0.386997</v>
      </c>
      <c r="G57" s="118" t="n">
        <v>1453.6</v>
      </c>
      <c r="H57" s="120" t="n">
        <v>6525210</v>
      </c>
      <c r="I57" s="120" t="n">
        <v>11251</v>
      </c>
      <c r="J57" s="120" t="n">
        <v>3870</v>
      </c>
      <c r="K57" s="120" t="n">
        <v>3096</v>
      </c>
      <c r="L57" s="121" t="n">
        <v>6543427</v>
      </c>
      <c r="M57" s="115" t="n"/>
    </row>
    <row r="58" ht="15.75" customHeight="1">
      <c r="A58" s="116" t="inlineStr">
        <is>
          <t>GPO464</t>
        </is>
      </c>
      <c r="B58" s="116" t="inlineStr">
        <is>
          <t>2026.02.04</t>
        </is>
      </c>
      <c r="C58" s="117" t="inlineStr">
        <is>
          <t>GDC</t>
        </is>
      </c>
      <c r="D58" s="118" t="n">
        <v>5670.57</v>
      </c>
      <c r="E58" s="118" t="n">
        <v>11599.57</v>
      </c>
      <c r="F58" s="122" t="n">
        <v>0.48886</v>
      </c>
      <c r="G58" s="118" t="n">
        <v>1453.6</v>
      </c>
      <c r="H58" s="120" t="n">
        <v>8242741</v>
      </c>
      <c r="I58" s="120" t="n">
        <v>14212</v>
      </c>
      <c r="J58" s="120" t="n">
        <v>4889</v>
      </c>
      <c r="K58" s="120" t="n">
        <v>3911</v>
      </c>
      <c r="L58" s="121" t="n">
        <v>8265753</v>
      </c>
      <c r="M58" s="115" t="n"/>
    </row>
    <row r="59" ht="15.75" customHeight="1">
      <c r="A59" s="116" t="inlineStr">
        <is>
          <t>CPO681</t>
        </is>
      </c>
      <c r="B59" s="116" t="inlineStr">
        <is>
          <t>2026.02.11</t>
        </is>
      </c>
      <c r="C59" s="117" t="inlineStr">
        <is>
          <t>Christie</t>
        </is>
      </c>
      <c r="D59" s="118" t="n">
        <v>26358</v>
      </c>
      <c r="E59" s="118" t="n">
        <v>26358</v>
      </c>
      <c r="F59" s="122" t="n">
        <v>1</v>
      </c>
      <c r="G59" s="118" t="n">
        <v>1460.7</v>
      </c>
      <c r="H59" s="120" t="n">
        <v>38501131</v>
      </c>
      <c r="I59" s="120" t="n">
        <v>29214</v>
      </c>
      <c r="J59" s="120" t="n">
        <v>12500</v>
      </c>
      <c r="K59" s="120" t="n">
        <v>8000</v>
      </c>
      <c r="L59" s="121" t="n">
        <v>38550845</v>
      </c>
      <c r="M59" s="115" t="n"/>
    </row>
    <row r="60" ht="15.75" customHeight="1">
      <c r="A60" s="116" t="inlineStr">
        <is>
          <t>CPO686</t>
        </is>
      </c>
      <c r="B60" s="116" t="inlineStr">
        <is>
          <t>2026.02.19</t>
        </is>
      </c>
      <c r="C60" s="117" t="inlineStr">
        <is>
          <t>Christie</t>
        </is>
      </c>
      <c r="D60" s="118" t="n">
        <v>14793</v>
      </c>
      <c r="E60" s="118" t="n">
        <v>17538</v>
      </c>
      <c r="F60" s="122" t="n">
        <v>0.843483</v>
      </c>
      <c r="G60" s="118" t="n">
        <v>1451.7</v>
      </c>
      <c r="H60" s="120" t="n">
        <v>21474998</v>
      </c>
      <c r="I60" s="120" t="n">
        <v>24490</v>
      </c>
      <c r="J60" s="120" t="n">
        <v>8435</v>
      </c>
      <c r="K60" s="120" t="n">
        <v>6748</v>
      </c>
      <c r="L60" s="121" t="n">
        <v>21514671</v>
      </c>
      <c r="M60" s="115" t="n"/>
    </row>
    <row r="61" ht="15.75" customHeight="1">
      <c r="A61" s="116" t="inlineStr">
        <is>
          <t>CPO689</t>
        </is>
      </c>
      <c r="B61" s="116" t="inlineStr">
        <is>
          <t>2026.02.19</t>
        </is>
      </c>
      <c r="C61" s="117" t="inlineStr">
        <is>
          <t>Christie</t>
        </is>
      </c>
      <c r="D61" s="118" t="n">
        <v>2745</v>
      </c>
      <c r="E61" s="118" t="n">
        <v>17538</v>
      </c>
      <c r="F61" s="122" t="n">
        <v>0.156517</v>
      </c>
      <c r="G61" s="118" t="n">
        <v>1451.7</v>
      </c>
      <c r="H61" s="120" t="n">
        <v>3984917</v>
      </c>
      <c r="I61" s="120" t="n">
        <v>4544</v>
      </c>
      <c r="J61" s="120" t="n">
        <v>1565</v>
      </c>
      <c r="K61" s="120" t="n">
        <v>1252</v>
      </c>
      <c r="L61" s="121" t="n">
        <v>3992278</v>
      </c>
      <c r="M61" s="115" t="n"/>
    </row>
    <row r="62" ht="15.75" customHeight="1">
      <c r="A62" s="116" t="inlineStr">
        <is>
          <t>CPO667</t>
        </is>
      </c>
      <c r="B62" s="116" t="inlineStr">
        <is>
          <t>2026.02.27</t>
        </is>
      </c>
      <c r="C62" s="117" t="inlineStr">
        <is>
          <t>Christie</t>
        </is>
      </c>
      <c r="D62" s="118" t="n">
        <v>5673</v>
      </c>
      <c r="E62" s="118" t="n">
        <v>142189</v>
      </c>
      <c r="F62" s="122" t="n">
        <v>0.039898</v>
      </c>
      <c r="G62" s="118" t="n">
        <v>1441.6</v>
      </c>
      <c r="H62" s="120" t="n">
        <v>8178197</v>
      </c>
      <c r="I62" s="120" t="n">
        <v>1150</v>
      </c>
      <c r="J62" s="120" t="n">
        <v>499</v>
      </c>
      <c r="K62" s="120" t="n">
        <v>319</v>
      </c>
      <c r="L62" s="121" t="n">
        <v>8180165</v>
      </c>
      <c r="M62" s="115" t="n"/>
    </row>
    <row r="63" ht="15.75" customHeight="1">
      <c r="A63" s="116" t="inlineStr">
        <is>
          <t>CPO685</t>
        </is>
      </c>
      <c r="B63" s="116" t="inlineStr">
        <is>
          <t>2026.02.27</t>
        </is>
      </c>
      <c r="C63" s="117" t="inlineStr">
        <is>
          <t>Christie</t>
        </is>
      </c>
      <c r="D63" s="118" t="n">
        <v>136516</v>
      </c>
      <c r="E63" s="118" t="n">
        <v>142189</v>
      </c>
      <c r="F63" s="122" t="n">
        <v>0.960102</v>
      </c>
      <c r="G63" s="118" t="n">
        <v>1441.6</v>
      </c>
      <c r="H63" s="120" t="n">
        <v>196801466</v>
      </c>
      <c r="I63" s="120" t="n">
        <v>27682</v>
      </c>
      <c r="J63" s="120" t="n">
        <v>12001</v>
      </c>
      <c r="K63" s="120" t="n">
        <v>7681</v>
      </c>
      <c r="L63" s="121" t="n">
        <v>196848830</v>
      </c>
      <c r="M63" s="115" t="n"/>
    </row>
    <row r="64" ht="15.75" customHeight="1">
      <c r="A64" s="116" t="inlineStr">
        <is>
          <t>CPO678-2</t>
        </is>
      </c>
      <c r="B64" s="116" t="inlineStr">
        <is>
          <t>2026.03.06</t>
        </is>
      </c>
      <c r="C64" s="117" t="inlineStr">
        <is>
          <t>Christie</t>
        </is>
      </c>
      <c r="D64" s="118" t="n">
        <v>137850</v>
      </c>
      <c r="E64" s="118" t="n">
        <v>137850</v>
      </c>
      <c r="F64" s="122" t="n">
        <v>1</v>
      </c>
      <c r="G64" s="118" t="n">
        <v>1477.6</v>
      </c>
      <c r="H64" s="120" t="n">
        <v>203687160</v>
      </c>
      <c r="I64" s="120" t="n">
        <v>29552</v>
      </c>
      <c r="J64" s="120" t="n">
        <v>12500</v>
      </c>
      <c r="K64" s="120" t="n">
        <v>8000</v>
      </c>
      <c r="L64" s="121" t="n">
        <v>203737212</v>
      </c>
      <c r="M64" s="115" t="n"/>
    </row>
    <row r="65" ht="15.75" customHeight="1">
      <c r="A65" s="116" t="inlineStr">
        <is>
          <t>CPO690</t>
        </is>
      </c>
      <c r="B65" s="116" t="inlineStr">
        <is>
          <t>2026.04.01</t>
        </is>
      </c>
      <c r="C65" s="117" t="inlineStr">
        <is>
          <t>Christie</t>
        </is>
      </c>
      <c r="D65" s="118" t="n">
        <v>9740</v>
      </c>
      <c r="E65" s="118" t="n">
        <v>34354</v>
      </c>
      <c r="F65" s="122" t="n">
        <v>0.283519</v>
      </c>
      <c r="G65" s="118" t="n">
        <v>1505.7</v>
      </c>
      <c r="H65" s="120" t="n">
        <v>14665518</v>
      </c>
      <c r="I65" s="120" t="n">
        <v>8538</v>
      </c>
      <c r="J65" s="120" t="n">
        <v>3544</v>
      </c>
      <c r="K65" s="120" t="n">
        <v>2268</v>
      </c>
      <c r="L65" s="121" t="n">
        <v>14679868</v>
      </c>
      <c r="M65" s="115" t="n"/>
    </row>
    <row r="66" ht="15.75" customHeight="1">
      <c r="A66" s="116" t="inlineStr">
        <is>
          <t>CPO691</t>
        </is>
      </c>
      <c r="B66" s="116" t="inlineStr">
        <is>
          <t>2026.04.01</t>
        </is>
      </c>
      <c r="C66" s="117" t="inlineStr">
        <is>
          <t>Christie</t>
        </is>
      </c>
      <c r="D66" s="118" t="n">
        <v>24614</v>
      </c>
      <c r="E66" s="118" t="n">
        <v>34354</v>
      </c>
      <c r="F66" s="122" t="n">
        <v>0.716481</v>
      </c>
      <c r="G66" s="118" t="n">
        <v>1505.7</v>
      </c>
      <c r="H66" s="120" t="n">
        <v>37061300</v>
      </c>
      <c r="I66" s="120" t="n">
        <v>21576</v>
      </c>
      <c r="J66" s="120" t="n">
        <v>8956</v>
      </c>
      <c r="K66" s="120" t="n">
        <v>5732</v>
      </c>
      <c r="L66" s="121" t="n">
        <v>37097564</v>
      </c>
      <c r="M66" s="115" t="n"/>
    </row>
    <row r="67" ht="15.75" customHeight="1">
      <c r="A67" s="116" t="inlineStr">
        <is>
          <t>GPO467</t>
        </is>
      </c>
      <c r="B67" s="116" t="inlineStr">
        <is>
          <t>2026.04.01</t>
        </is>
      </c>
      <c r="C67" s="117" t="inlineStr">
        <is>
          <t>GDC</t>
        </is>
      </c>
      <c r="D67" s="118" t="n">
        <v>1700</v>
      </c>
      <c r="E67" s="118" t="n">
        <v>6553.05</v>
      </c>
      <c r="F67" s="122" t="n">
        <v>0.259421</v>
      </c>
      <c r="G67" s="118" t="n">
        <v>1506.4</v>
      </c>
      <c r="H67" s="120" t="n">
        <v>2560880</v>
      </c>
      <c r="I67" s="120" t="n">
        <v>7816</v>
      </c>
      <c r="J67" s="120" t="n">
        <v>2594</v>
      </c>
      <c r="K67" s="120" t="n">
        <v>2075</v>
      </c>
      <c r="L67" s="121" t="n">
        <v>2573365</v>
      </c>
      <c r="M67" s="115" t="n"/>
    </row>
    <row r="68" ht="15.75" customHeight="1">
      <c r="A68" s="116" t="inlineStr">
        <is>
          <t>GPO469</t>
        </is>
      </c>
      <c r="B68" s="116" t="inlineStr">
        <is>
          <t>2026.04.01</t>
        </is>
      </c>
      <c r="C68" s="117" t="inlineStr">
        <is>
          <t>GDC</t>
        </is>
      </c>
      <c r="D68" s="118" t="n">
        <v>3993.05</v>
      </c>
      <c r="E68" s="118" t="n">
        <v>6553.05</v>
      </c>
      <c r="F68" s="122" t="n">
        <v>0.6093420000000001</v>
      </c>
      <c r="G68" s="118" t="n">
        <v>1506.4</v>
      </c>
      <c r="H68" s="120" t="n">
        <v>6015131</v>
      </c>
      <c r="I68" s="120" t="n">
        <v>18358</v>
      </c>
      <c r="J68" s="120" t="n">
        <v>6093</v>
      </c>
      <c r="K68" s="120" t="n">
        <v>4875</v>
      </c>
      <c r="L68" s="121" t="n">
        <v>6044457</v>
      </c>
      <c r="M68" s="115" t="n"/>
    </row>
    <row r="69" ht="15.75" customHeight="1">
      <c r="A69" s="116" t="inlineStr">
        <is>
          <t>GPO470</t>
        </is>
      </c>
      <c r="B69" s="116" t="inlineStr">
        <is>
          <t>2026.04.01</t>
        </is>
      </c>
      <c r="C69" s="117" t="inlineStr">
        <is>
          <t>GDC</t>
        </is>
      </c>
      <c r="D69" s="118" t="n">
        <v>360</v>
      </c>
      <c r="E69" s="118" t="n">
        <v>6553.05</v>
      </c>
      <c r="F69" s="122" t="n">
        <v>0.054936</v>
      </c>
      <c r="G69" s="118" t="n">
        <v>1506.4</v>
      </c>
      <c r="H69" s="120" t="n">
        <v>542304</v>
      </c>
      <c r="I69" s="120" t="n">
        <v>1655</v>
      </c>
      <c r="J69" s="120" t="n">
        <v>549</v>
      </c>
      <c r="K69" s="120" t="n">
        <v>439</v>
      </c>
      <c r="L69" s="121" t="n">
        <v>544947</v>
      </c>
      <c r="M69" s="115" t="n"/>
    </row>
    <row r="70" ht="15.75" customHeight="1">
      <c r="A70" s="116" t="inlineStr">
        <is>
          <t>GPO471</t>
        </is>
      </c>
      <c r="B70" s="116" t="inlineStr">
        <is>
          <t>2026.04.01</t>
        </is>
      </c>
      <c r="C70" s="117" t="inlineStr">
        <is>
          <t>GDC</t>
        </is>
      </c>
      <c r="D70" s="118" t="n">
        <v>500</v>
      </c>
      <c r="E70" s="118" t="n">
        <v>6553.05</v>
      </c>
      <c r="F70" s="122" t="n">
        <v>0.07630000000000001</v>
      </c>
      <c r="G70" s="118" t="n">
        <v>1506.4</v>
      </c>
      <c r="H70" s="120" t="n">
        <v>753200</v>
      </c>
      <c r="I70" s="120" t="n">
        <v>2299</v>
      </c>
      <c r="J70" s="120" t="n">
        <v>763</v>
      </c>
      <c r="K70" s="120" t="n">
        <v>610</v>
      </c>
      <c r="L70" s="121" t="n">
        <v>756872</v>
      </c>
      <c r="M70" s="115" t="n"/>
    </row>
    <row r="71" ht="15.75" customHeight="1">
      <c r="A71" s="116" t="inlineStr">
        <is>
          <t>GPO468-1</t>
        </is>
      </c>
      <c r="B71" s="116" t="inlineStr">
        <is>
          <t>2026.04.14</t>
        </is>
      </c>
      <c r="C71" s="117" t="inlineStr">
        <is>
          <t>GDC</t>
        </is>
      </c>
      <c r="D71" s="118" t="n">
        <v>36190</v>
      </c>
      <c r="E71" s="118" t="n">
        <v>57650</v>
      </c>
      <c r="F71" s="122" t="n">
        <v>0.627754</v>
      </c>
      <c r="G71" s="118" t="n">
        <v>1481.9</v>
      </c>
      <c r="H71" s="120" t="n">
        <v>53629961</v>
      </c>
      <c r="I71" s="120" t="n">
        <v>18605</v>
      </c>
      <c r="J71" s="120" t="n">
        <v>7847</v>
      </c>
      <c r="K71" s="120" t="n">
        <v>5022</v>
      </c>
      <c r="L71" s="121" t="n">
        <v>53661435</v>
      </c>
      <c r="M71" s="115" t="n"/>
    </row>
    <row r="72" ht="15.75" customHeight="1">
      <c r="A72" s="116" t="inlineStr">
        <is>
          <t>GPO472</t>
        </is>
      </c>
      <c r="B72" s="116" t="inlineStr">
        <is>
          <t>2026.04.14</t>
        </is>
      </c>
      <c r="C72" s="117" t="inlineStr">
        <is>
          <t>GDC</t>
        </is>
      </c>
      <c r="D72" s="118" t="n">
        <v>180</v>
      </c>
      <c r="E72" s="118" t="n">
        <v>57650</v>
      </c>
      <c r="F72" s="122" t="n">
        <v>0.003122</v>
      </c>
      <c r="G72" s="118" t="n">
        <v>1481.9</v>
      </c>
      <c r="H72" s="120" t="n">
        <v>266742</v>
      </c>
      <c r="I72" s="120" t="n">
        <v>93</v>
      </c>
      <c r="J72" s="120" t="n">
        <v>39</v>
      </c>
      <c r="K72" s="120" t="n">
        <v>25</v>
      </c>
      <c r="L72" s="121" t="n">
        <v>266899</v>
      </c>
      <c r="M72" s="115" t="n"/>
    </row>
    <row r="73" ht="15.75" customHeight="1">
      <c r="A73" s="116" t="inlineStr">
        <is>
          <t>GPO468-2</t>
        </is>
      </c>
      <c r="B73" s="116" t="inlineStr">
        <is>
          <t>2026.04.14</t>
        </is>
      </c>
      <c r="C73" s="117" t="inlineStr">
        <is>
          <t>GDC</t>
        </is>
      </c>
      <c r="D73" s="118" t="n">
        <v>21280</v>
      </c>
      <c r="E73" s="118" t="n">
        <v>57650</v>
      </c>
      <c r="F73" s="122" t="n">
        <v>0.369124</v>
      </c>
      <c r="G73" s="118" t="n">
        <v>1481.9</v>
      </c>
      <c r="H73" s="120" t="n">
        <v>31534832</v>
      </c>
      <c r="I73" s="120" t="n">
        <v>10940</v>
      </c>
      <c r="J73" s="120" t="n">
        <v>4614</v>
      </c>
      <c r="K73" s="120" t="n">
        <v>2953</v>
      </c>
      <c r="L73" s="121" t="n">
        <v>31553339</v>
      </c>
      <c r="M73" s="115" t="n"/>
    </row>
    <row r="74" ht="15.75" customHeight="1">
      <c r="A74" s="116" t="inlineStr">
        <is>
          <t>CPO692-1</t>
        </is>
      </c>
      <c r="B74" s="116" t="inlineStr">
        <is>
          <t>2026.04.22</t>
        </is>
      </c>
      <c r="C74" s="117" t="inlineStr">
        <is>
          <t>Christie</t>
        </is>
      </c>
      <c r="D74" s="118" t="n">
        <v>11000</v>
      </c>
      <c r="E74" s="118" t="n">
        <v>297580</v>
      </c>
      <c r="F74" s="122" t="n">
        <v>0.036965</v>
      </c>
      <c r="G74" s="118" t="n">
        <v>1482.8</v>
      </c>
      <c r="H74" s="120" t="n">
        <v>16310800</v>
      </c>
      <c r="I74" s="120" t="n">
        <v>1096</v>
      </c>
      <c r="J74" s="120" t="n">
        <v>462</v>
      </c>
      <c r="K74" s="120" t="n">
        <v>296</v>
      </c>
      <c r="L74" s="121" t="n">
        <v>16312654</v>
      </c>
      <c r="M74" s="115" t="n"/>
    </row>
    <row r="75" ht="15.75" customHeight="1">
      <c r="A75" s="116" t="inlineStr">
        <is>
          <t>CPO692-2</t>
        </is>
      </c>
      <c r="B75" s="116" t="inlineStr">
        <is>
          <t>2026.04.22</t>
        </is>
      </c>
      <c r="C75" s="117" t="inlineStr">
        <is>
          <t>Christie</t>
        </is>
      </c>
      <c r="D75" s="118" t="n">
        <v>286580</v>
      </c>
      <c r="E75" s="118" t="n">
        <v>297580</v>
      </c>
      <c r="F75" s="122" t="n">
        <v>0.963035</v>
      </c>
      <c r="G75" s="118" t="n">
        <v>1482.8</v>
      </c>
      <c r="H75" s="120" t="n">
        <v>424940824</v>
      </c>
      <c r="I75" s="120" t="n">
        <v>28560</v>
      </c>
      <c r="J75" s="120" t="n">
        <v>12038</v>
      </c>
      <c r="K75" s="120" t="n">
        <v>7704</v>
      </c>
      <c r="L75" s="121" t="n">
        <v>424989126</v>
      </c>
      <c r="M75" s="115" t="n"/>
    </row>
    <row r="76" ht="15.75" customHeight="1">
      <c r="A76" s="116" t="inlineStr">
        <is>
          <t>EPO18</t>
        </is>
      </c>
      <c r="B76" s="116" t="inlineStr">
        <is>
          <t>2026.04.22</t>
        </is>
      </c>
      <c r="C76" s="117" t="inlineStr">
        <is>
          <t>MAICO Italia</t>
        </is>
      </c>
      <c r="D76" s="118" t="n">
        <v>4388.4</v>
      </c>
      <c r="E76" s="118" t="n">
        <v>4388.4</v>
      </c>
      <c r="F76" s="122" t="n">
        <v>1</v>
      </c>
      <c r="G76" s="118" t="n">
        <v>1741.08</v>
      </c>
      <c r="H76" s="120" t="n">
        <v>7640555</v>
      </c>
      <c r="I76" s="120" t="n">
        <v>43527</v>
      </c>
      <c r="J76" s="120" t="n">
        <v>10000</v>
      </c>
      <c r="K76" s="120" t="n">
        <v>8000</v>
      </c>
      <c r="L76" s="121" t="n">
        <v>7702082</v>
      </c>
    </row>
    <row r="77" ht="15.75" customHeight="1">
      <c r="A77" s="116" t="inlineStr">
        <is>
          <t>CPO694</t>
        </is>
      </c>
      <c r="B77" s="116" t="inlineStr">
        <is>
          <t>2026.05.04</t>
        </is>
      </c>
      <c r="C77" s="117" t="inlineStr">
        <is>
          <t>Christie</t>
        </is>
      </c>
      <c r="D77" s="118" t="n">
        <v>17404</v>
      </c>
      <c r="E77" s="118" t="n">
        <v>21439</v>
      </c>
      <c r="F77" s="122" t="n">
        <v>0.811792</v>
      </c>
      <c r="G77" s="118" t="n">
        <v>1474.9</v>
      </c>
      <c r="H77" s="120" t="n">
        <v>25669160</v>
      </c>
      <c r="I77" s="120" t="n">
        <v>23946</v>
      </c>
      <c r="J77" s="120" t="n">
        <v>10147</v>
      </c>
      <c r="K77" s="120" t="n">
        <v>6494</v>
      </c>
      <c r="L77" s="121" t="n">
        <v>25709747</v>
      </c>
    </row>
    <row r="78" ht="15.75" customHeight="1">
      <c r="A78" s="116" t="inlineStr">
        <is>
          <t>CPO695-1</t>
        </is>
      </c>
      <c r="B78" s="116" t="inlineStr">
        <is>
          <t>2026.05.04</t>
        </is>
      </c>
      <c r="C78" s="117" t="inlineStr">
        <is>
          <t>Christie</t>
        </is>
      </c>
      <c r="D78" s="118" t="n">
        <v>2058</v>
      </c>
      <c r="E78" s="118" t="n">
        <v>21439</v>
      </c>
      <c r="F78" s="122" t="n">
        <v>0.09599299999999999</v>
      </c>
      <c r="G78" s="118" t="n">
        <v>1474.9</v>
      </c>
      <c r="H78" s="120" t="n">
        <v>3035344</v>
      </c>
      <c r="I78" s="120" t="n">
        <v>2832</v>
      </c>
      <c r="J78" s="120" t="n">
        <v>1200</v>
      </c>
      <c r="K78" s="120" t="n">
        <v>768</v>
      </c>
      <c r="L78" s="121" t="n">
        <v>3040144</v>
      </c>
    </row>
    <row r="79" ht="15.75" customHeight="1">
      <c r="A79" s="116" t="inlineStr">
        <is>
          <t>CPO695-2</t>
        </is>
      </c>
      <c r="B79" s="116" t="inlineStr">
        <is>
          <t>2026.05.04</t>
        </is>
      </c>
      <c r="C79" s="117" t="inlineStr">
        <is>
          <t>Christie</t>
        </is>
      </c>
      <c r="D79" s="118" t="n">
        <v>1977</v>
      </c>
      <c r="E79" s="118" t="n">
        <v>21439</v>
      </c>
      <c r="F79" s="122" t="n">
        <v>0.09221500000000001</v>
      </c>
      <c r="G79" s="118" t="n">
        <v>1474.9</v>
      </c>
      <c r="H79" s="120" t="n">
        <v>2915877</v>
      </c>
      <c r="I79" s="120" t="n">
        <v>2720</v>
      </c>
      <c r="J79" s="120" t="n">
        <v>1153</v>
      </c>
      <c r="K79" s="120" t="n">
        <v>738</v>
      </c>
      <c r="L79" s="121" t="n">
        <v>2920488</v>
      </c>
    </row>
    <row r="80" ht="15.75" customHeight="1">
      <c r="A80" s="116" t="inlineStr">
        <is>
          <t>IPO016</t>
        </is>
      </c>
      <c r="B80" s="116" t="inlineStr">
        <is>
          <t>2026.05.04</t>
        </is>
      </c>
      <c r="C80" s="117" t="inlineStr">
        <is>
          <t>Integ</t>
        </is>
      </c>
      <c r="D80" s="118" t="n">
        <v>6800</v>
      </c>
      <c r="E80" s="118" t="n">
        <v>6800</v>
      </c>
      <c r="F80" s="122" t="n">
        <v>1</v>
      </c>
      <c r="G80" s="118" t="n">
        <v>1475.2</v>
      </c>
      <c r="H80" s="120" t="n">
        <v>10031360</v>
      </c>
      <c r="I80" s="120" t="n">
        <v>29504</v>
      </c>
      <c r="J80" s="120" t="n">
        <v>10000</v>
      </c>
      <c r="K80" s="120" t="n">
        <v>8000</v>
      </c>
      <c r="L80" s="121" t="n">
        <v>10078864</v>
      </c>
    </row>
    <row r="81" ht="15.75" customHeight="1">
      <c r="A81" s="116" t="inlineStr">
        <is>
          <t>GPO478</t>
        </is>
      </c>
      <c r="B81" s="116" t="inlineStr">
        <is>
          <t>2026.05.19</t>
        </is>
      </c>
      <c r="C81" s="117" t="inlineStr">
        <is>
          <t>GDC</t>
        </is>
      </c>
      <c r="D81" s="118" t="n">
        <v>180</v>
      </c>
      <c r="E81" s="118" t="n">
        <v>180</v>
      </c>
      <c r="F81" s="122" t="n">
        <v>1</v>
      </c>
      <c r="G81" s="118" t="n">
        <v>1518.9</v>
      </c>
      <c r="H81" s="120" t="n">
        <v>273402</v>
      </c>
      <c r="I81" s="120" t="n">
        <v>30378</v>
      </c>
      <c r="J81" s="120" t="n">
        <v>2500</v>
      </c>
      <c r="K81" s="120" t="n">
        <v>8000</v>
      </c>
      <c r="L81" s="121" t="n">
        <v>314280</v>
      </c>
    </row>
    <row r="82" ht="15.75" customHeight="1">
      <c r="A82" s="116" t="inlineStr">
        <is>
          <t>CPO698</t>
        </is>
      </c>
      <c r="B82" s="116" t="inlineStr">
        <is>
          <t>2026.05.20</t>
        </is>
      </c>
      <c r="C82" s="117" t="inlineStr">
        <is>
          <t>Christie</t>
        </is>
      </c>
      <c r="D82" s="118" t="n">
        <v>4290</v>
      </c>
      <c r="E82" s="118" t="n">
        <v>4290</v>
      </c>
      <c r="F82" s="122" t="n">
        <v>1</v>
      </c>
      <c r="G82" s="118" t="n">
        <v>1510.6</v>
      </c>
      <c r="H82" s="120" t="n">
        <v>6480474</v>
      </c>
      <c r="I82" s="120" t="n">
        <v>30212</v>
      </c>
      <c r="J82" s="120" t="n">
        <v>7500</v>
      </c>
      <c r="K82" s="120" t="n">
        <v>8000</v>
      </c>
      <c r="L82" s="121" t="n">
        <v>6526186</v>
      </c>
      <c r="M82" s="40" t="n"/>
    </row>
    <row r="83" ht="15.75" customHeight="1">
      <c r="A83" s="116" t="inlineStr">
        <is>
          <t>GPO473-1</t>
        </is>
      </c>
      <c r="B83" s="116" t="inlineStr">
        <is>
          <t>2026.05.29</t>
        </is>
      </c>
      <c r="C83" s="117" t="inlineStr">
        <is>
          <t>GDC</t>
        </is>
      </c>
      <c r="D83" s="118" t="n">
        <v>98800</v>
      </c>
      <c r="E83" s="118" t="n">
        <v>99140</v>
      </c>
      <c r="F83" s="122" t="n">
        <v>0.996571</v>
      </c>
      <c r="G83" s="118" t="n">
        <v>1502.8</v>
      </c>
      <c r="H83" s="120" t="n">
        <v>148476640</v>
      </c>
      <c r="I83" s="120" t="n">
        <v>29953</v>
      </c>
      <c r="J83" s="120" t="n">
        <v>12457</v>
      </c>
      <c r="K83" s="120" t="n">
        <v>7973</v>
      </c>
      <c r="L83" s="121" t="n">
        <v>148527023</v>
      </c>
    </row>
    <row r="84" ht="15.75" customHeight="1">
      <c r="A84" s="116" t="inlineStr">
        <is>
          <t>GPO480</t>
        </is>
      </c>
      <c r="B84" s="116" t="inlineStr">
        <is>
          <t>2026.05.29</t>
        </is>
      </c>
      <c r="C84" s="117" t="inlineStr">
        <is>
          <t>GDC</t>
        </is>
      </c>
      <c r="D84" s="118" t="n">
        <v>250</v>
      </c>
      <c r="E84" s="118" t="n">
        <v>99140</v>
      </c>
      <c r="F84" s="122" t="n">
        <v>0.002522</v>
      </c>
      <c r="G84" s="118" t="n">
        <v>1502.8</v>
      </c>
      <c r="H84" s="120" t="n">
        <v>375700</v>
      </c>
      <c r="I84" s="120" t="n">
        <v>76</v>
      </c>
      <c r="J84" s="120" t="n">
        <v>32</v>
      </c>
      <c r="K84" s="120" t="n">
        <v>20</v>
      </c>
      <c r="L84" s="121" t="n">
        <v>375828</v>
      </c>
    </row>
    <row r="85" ht="15.75" customHeight="1">
      <c r="A85" s="116" t="inlineStr">
        <is>
          <t>GPO479</t>
        </is>
      </c>
      <c r="B85" s="116" t="inlineStr">
        <is>
          <t>2026.05.29</t>
        </is>
      </c>
      <c r="C85" s="117" t="inlineStr">
        <is>
          <t>GDC</t>
        </is>
      </c>
      <c r="D85" s="118" t="n">
        <v>90</v>
      </c>
      <c r="E85" s="118" t="n">
        <v>99140</v>
      </c>
      <c r="F85" s="122" t="n">
        <v>0.000908</v>
      </c>
      <c r="G85" s="118" t="n">
        <v>1502.8</v>
      </c>
      <c r="H85" s="120" t="n">
        <v>135252</v>
      </c>
      <c r="I85" s="120" t="n">
        <v>27</v>
      </c>
      <c r="J85" s="120" t="n">
        <v>11</v>
      </c>
      <c r="K85" s="120" t="n">
        <v>7</v>
      </c>
      <c r="L85" s="121" t="n">
        <v>135297</v>
      </c>
    </row>
    <row r="86" ht="15.75" customHeight="1">
      <c r="A86" s="116" t="inlineStr">
        <is>
          <t>CPO697</t>
        </is>
      </c>
      <c r="B86" s="116" t="inlineStr">
        <is>
          <t>2026.05.29</t>
        </is>
      </c>
      <c r="C86" s="117" t="inlineStr">
        <is>
          <t>Christie</t>
        </is>
      </c>
      <c r="D86" s="118" t="n">
        <v>15289</v>
      </c>
      <c r="E86" s="118" t="n">
        <v>101638</v>
      </c>
      <c r="F86" s="122" t="n">
        <v>0.150426</v>
      </c>
      <c r="G86" s="118" t="n">
        <v>1502.7</v>
      </c>
      <c r="H86" s="120" t="n">
        <v>22974780</v>
      </c>
      <c r="I86" s="120" t="n">
        <v>4521</v>
      </c>
      <c r="J86" s="120" t="n">
        <v>1880</v>
      </c>
      <c r="K86" s="120" t="n">
        <v>1203</v>
      </c>
      <c r="L86" s="121" t="n">
        <v>22982384</v>
      </c>
    </row>
    <row r="87" ht="15.75" customHeight="1">
      <c r="A87" s="116" t="inlineStr">
        <is>
          <t>CPO696-1</t>
        </is>
      </c>
      <c r="B87" s="116" t="inlineStr">
        <is>
          <t>2026.05.29</t>
        </is>
      </c>
      <c r="C87" s="117" t="inlineStr">
        <is>
          <t>Christie</t>
        </is>
      </c>
      <c r="D87" s="118" t="n">
        <v>78209</v>
      </c>
      <c r="E87" s="118" t="n">
        <v>101638</v>
      </c>
      <c r="F87" s="122" t="n">
        <v>0.769486</v>
      </c>
      <c r="G87" s="118" t="n">
        <v>1502.7</v>
      </c>
      <c r="H87" s="120" t="n">
        <v>117524664</v>
      </c>
      <c r="I87" s="120" t="n">
        <v>23126</v>
      </c>
      <c r="J87" s="120" t="n">
        <v>9619</v>
      </c>
      <c r="K87" s="120" t="n">
        <v>6156</v>
      </c>
      <c r="L87" s="121" t="n">
        <v>117563565</v>
      </c>
    </row>
    <row r="88">
      <c r="A88" s="116" t="inlineStr">
        <is>
          <t>CPO696-2</t>
        </is>
      </c>
      <c r="B88" s="116" t="inlineStr">
        <is>
          <t>2026.05.29</t>
        </is>
      </c>
      <c r="C88" s="117" t="inlineStr">
        <is>
          <t>Christie</t>
        </is>
      </c>
      <c r="D88" s="118" t="n">
        <v>8140</v>
      </c>
      <c r="E88" s="118" t="n">
        <v>101638</v>
      </c>
      <c r="F88" s="122" t="n">
        <v>0.08008800000000001</v>
      </c>
      <c r="G88" s="118" t="n">
        <v>1502.7</v>
      </c>
      <c r="H88" s="120" t="n">
        <v>12231978</v>
      </c>
      <c r="I88" s="120" t="n">
        <v>2407</v>
      </c>
      <c r="J88" s="120" t="n">
        <v>1001</v>
      </c>
      <c r="K88" s="120" t="n">
        <v>641</v>
      </c>
      <c r="L88" s="121" t="n">
        <v>12236027</v>
      </c>
    </row>
    <row r="89">
      <c r="A89" s="234" t="inlineStr">
        <is>
          <t>GPO481</t>
        </is>
      </c>
      <c r="B89" s="234" t="inlineStr">
        <is>
          <t>2026.06.10</t>
        </is>
      </c>
      <c r="C89" s="235" t="inlineStr">
        <is>
          <t>GDC</t>
        </is>
      </c>
      <c r="D89" s="236" t="n">
        <v>500</v>
      </c>
      <c r="E89" s="236" t="n">
        <v>119060</v>
      </c>
      <c r="F89" s="240" t="n">
        <v>0.0042</v>
      </c>
      <c r="G89" s="236" t="n">
        <v>1525.3</v>
      </c>
      <c r="H89" s="238" t="n">
        <v>762650</v>
      </c>
      <c r="I89" s="238" t="n">
        <v>128</v>
      </c>
      <c r="J89" s="238" t="n">
        <v>52</v>
      </c>
      <c r="K89" s="238" t="n">
        <v>34</v>
      </c>
      <c r="L89" s="239" t="n">
        <v>762864</v>
      </c>
    </row>
    <row r="90">
      <c r="A90" s="234" t="inlineStr">
        <is>
          <t>GPO473-2</t>
        </is>
      </c>
      <c r="B90" s="234" t="inlineStr">
        <is>
          <t>2026.06.10</t>
        </is>
      </c>
      <c r="C90" s="235" t="inlineStr">
        <is>
          <t>GDC</t>
        </is>
      </c>
      <c r="D90" s="236" t="n">
        <v>69160</v>
      </c>
      <c r="E90" s="236" t="n">
        <v>119060</v>
      </c>
      <c r="F90" s="240" t="n">
        <v>0.580884</v>
      </c>
      <c r="G90" s="236" t="n">
        <v>1525.3</v>
      </c>
      <c r="H90" s="238" t="n">
        <v>105489748</v>
      </c>
      <c r="I90" s="238" t="n">
        <v>17720</v>
      </c>
      <c r="J90" s="238" t="n">
        <v>7261</v>
      </c>
      <c r="K90" s="238" t="n">
        <v>4647</v>
      </c>
      <c r="L90" s="239" t="n">
        <v>105519376</v>
      </c>
    </row>
    <row r="91">
      <c r="A91" s="234" t="inlineStr">
        <is>
          <t>GPO473-3</t>
        </is>
      </c>
      <c r="B91" s="234" t="inlineStr">
        <is>
          <t>2026.06.10</t>
        </is>
      </c>
      <c r="C91" s="235" t="inlineStr">
        <is>
          <t>GDC</t>
        </is>
      </c>
      <c r="D91" s="236" t="n">
        <v>49400</v>
      </c>
      <c r="E91" s="236" t="n">
        <v>119060</v>
      </c>
      <c r="F91" s="240" t="n">
        <v>0.414917</v>
      </c>
      <c r="G91" s="236" t="n">
        <v>1525.3</v>
      </c>
      <c r="H91" s="238" t="n">
        <v>75349820</v>
      </c>
      <c r="I91" s="238" t="n">
        <v>12657</v>
      </c>
      <c r="J91" s="238" t="n">
        <v>5186</v>
      </c>
      <c r="K91" s="238" t="n">
        <v>3319</v>
      </c>
      <c r="L91" s="239" t="n">
        <v>75370982</v>
      </c>
    </row>
    <row r="92">
      <c r="A92" s="234" t="inlineStr">
        <is>
          <t>CPO696-3</t>
        </is>
      </c>
      <c r="B92" s="234" t="inlineStr">
        <is>
          <t>2026.06.17</t>
        </is>
      </c>
      <c r="C92" s="235" t="inlineStr">
        <is>
          <t>Christie</t>
        </is>
      </c>
      <c r="D92" s="236" t="n">
        <v>351274</v>
      </c>
      <c r="E92" s="236" t="n">
        <v>351274</v>
      </c>
      <c r="F92" s="240">
        <f>IFERROR(D92/E92,0)</f>
        <v/>
      </c>
      <c r="G92" s="236" t="n">
        <v>1518</v>
      </c>
      <c r="H92" s="238" t="n">
        <v>533233932</v>
      </c>
      <c r="I92" s="238" t="n">
        <v>30360</v>
      </c>
      <c r="J92" s="238" t="n">
        <v>12500</v>
      </c>
      <c r="K92" s="238" t="n">
        <v>8000</v>
      </c>
      <c r="L92" s="239">
        <f>H92+I92+J92+K92</f>
        <v/>
      </c>
    </row>
    <row r="93">
      <c r="A93" s="234" t="inlineStr">
        <is>
          <t>APO001</t>
        </is>
      </c>
      <c r="B93" s="234" t="inlineStr">
        <is>
          <t>2026.06.17</t>
        </is>
      </c>
      <c r="C93" s="235" t="inlineStr">
        <is>
          <t>Appotronics</t>
        </is>
      </c>
      <c r="D93" s="236" t="n">
        <v>12400</v>
      </c>
      <c r="E93" s="236" t="n">
        <v>12400</v>
      </c>
      <c r="F93" s="240">
        <f>IFERROR(D93/E93,0)</f>
        <v/>
      </c>
      <c r="G93" s="236" t="n">
        <v>1517.1</v>
      </c>
      <c r="H93" s="238" t="n">
        <v>18812040</v>
      </c>
      <c r="I93" s="238" t="n">
        <v>30342</v>
      </c>
      <c r="J93" s="238" t="n">
        <v>10000</v>
      </c>
      <c r="K93" s="238" t="n">
        <v>8000</v>
      </c>
      <c r="L93" s="239">
        <f>H93+I93+J93+K93</f>
        <v/>
      </c>
    </row>
    <row r="94">
      <c r="A94" s="234" t="inlineStr">
        <is>
          <t>MPO67</t>
        </is>
      </c>
      <c r="B94" s="234" t="inlineStr">
        <is>
          <t>2026.06.17</t>
        </is>
      </c>
      <c r="C94" s="235" t="inlineStr">
        <is>
          <t>MAG</t>
        </is>
      </c>
      <c r="D94" s="236" t="n">
        <v>49138.8</v>
      </c>
      <c r="E94" s="236" t="n">
        <v>60726</v>
      </c>
      <c r="F94" s="240">
        <f>IFERROR(D94/E94,0)</f>
        <v/>
      </c>
      <c r="G94" s="236" t="n">
        <v>1517.3</v>
      </c>
      <c r="H94" s="238" t="n">
        <v>74558330</v>
      </c>
      <c r="I94" s="238" t="n">
        <v>24555</v>
      </c>
      <c r="J94" s="238" t="n">
        <v>10115</v>
      </c>
      <c r="K94" s="238" t="n">
        <v>6473</v>
      </c>
      <c r="L94" s="239">
        <f>H94+I94+J94+K94</f>
        <v/>
      </c>
    </row>
    <row r="95">
      <c r="A95" s="234" t="inlineStr">
        <is>
          <t>MPO68</t>
        </is>
      </c>
      <c r="B95" s="234" t="inlineStr">
        <is>
          <t>2026.06.17</t>
        </is>
      </c>
      <c r="C95" s="235" t="inlineStr">
        <is>
          <t>MAG</t>
        </is>
      </c>
      <c r="D95" s="236" t="n">
        <v>11587.2</v>
      </c>
      <c r="E95" s="236" t="n">
        <v>60726</v>
      </c>
      <c r="F95" s="240">
        <f>IFERROR(D95/E95,0)</f>
        <v/>
      </c>
      <c r="G95" s="236" t="n">
        <v>1517.3</v>
      </c>
      <c r="H95" s="238" t="n">
        <v>17582284</v>
      </c>
      <c r="I95" s="238" t="n">
        <v>5791</v>
      </c>
      <c r="J95" s="238" t="n">
        <v>2385</v>
      </c>
      <c r="K95" s="238" t="n">
        <v>1527</v>
      </c>
      <c r="L95" s="239">
        <f>H95+I95+J95+K95</f>
        <v/>
      </c>
    </row>
    <row r="96">
      <c r="A96" s="234" t="inlineStr">
        <is>
          <t>GPO475</t>
        </is>
      </c>
      <c r="B96" s="234" t="inlineStr">
        <is>
          <t>2026.06.17</t>
        </is>
      </c>
      <c r="C96" s="235" t="inlineStr">
        <is>
          <t>GDC</t>
        </is>
      </c>
      <c r="D96" s="236" t="n">
        <v>540</v>
      </c>
      <c r="E96" s="236" t="n">
        <v>2040</v>
      </c>
      <c r="F96" s="240">
        <f>IFERROR(D96/E96,0)</f>
        <v/>
      </c>
      <c r="G96" s="236" t="n">
        <v>1516.8</v>
      </c>
      <c r="H96" s="238" t="n">
        <v>819072</v>
      </c>
      <c r="I96" s="238" t="n">
        <v>8030</v>
      </c>
      <c r="J96" s="238" t="n">
        <v>1985</v>
      </c>
      <c r="K96" s="238" t="n">
        <v>2118</v>
      </c>
      <c r="L96" s="239">
        <f>H96+I96+J96+K96</f>
        <v/>
      </c>
    </row>
    <row r="97">
      <c r="A97" s="234" t="inlineStr">
        <is>
          <t>GPO475-수리</t>
        </is>
      </c>
      <c r="B97" s="234" t="inlineStr">
        <is>
          <t>2026.06.17</t>
        </is>
      </c>
      <c r="C97" s="235" t="inlineStr">
        <is>
          <t>GDC</t>
        </is>
      </c>
      <c r="D97" s="236" t="n">
        <v>1500</v>
      </c>
      <c r="E97" s="236" t="n">
        <v>2040</v>
      </c>
      <c r="F97" s="240">
        <f>IFERROR(D97/E97,0)</f>
        <v/>
      </c>
      <c r="G97" s="236" t="n">
        <v>1516.8</v>
      </c>
      <c r="H97" s="238" t="n">
        <v>2275200</v>
      </c>
      <c r="I97" s="238" t="n">
        <v>22306</v>
      </c>
      <c r="J97" s="238" t="n">
        <v>5515</v>
      </c>
      <c r="K97" s="238" t="n">
        <v>5882</v>
      </c>
      <c r="L97" s="239">
        <f>H97+I97+J97+K97</f>
        <v/>
      </c>
    </row>
  </sheetData>
  <mergeCells count="2">
    <mergeCell ref="A41:L41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2026-06-16  |  상환 완료 건은 초록색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Usance L/C 현황 (상환완료 포함)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276" t="n">
        <v>1</v>
      </c>
      <c r="B16" s="276" t="inlineStr">
        <is>
          <t>CPO-672</t>
        </is>
      </c>
      <c r="C16" s="277" t="inlineStr">
        <is>
          <t>Christie</t>
        </is>
      </c>
      <c r="D16" s="278" t="n">
        <v>221868</v>
      </c>
      <c r="E16" s="276" t="inlineStr">
        <is>
          <t>신한은행</t>
        </is>
      </c>
      <c r="F16" s="276" t="inlineStr">
        <is>
          <t>M88JX2510NU00018</t>
        </is>
      </c>
      <c r="G16" s="276" t="inlineStr">
        <is>
          <t>2025-10-16</t>
        </is>
      </c>
      <c r="H16" s="276" t="inlineStr">
        <is>
          <t>2026-04-14</t>
        </is>
      </c>
      <c r="I16" s="276" t="inlineStr">
        <is>
          <t>180 Days</t>
        </is>
      </c>
      <c r="J16" s="276" t="inlineStr">
        <is>
          <t>2025-12-16</t>
        </is>
      </c>
      <c r="K16" s="276" t="inlineStr">
        <is>
          <t>2026-06-16</t>
        </is>
      </c>
      <c r="L16" s="279" t="inlineStr">
        <is>
          <t>상환완료</t>
        </is>
      </c>
      <c r="M16" s="280" t="n">
        <v>46189</v>
      </c>
      <c r="N16" s="278" t="n">
        <v>1517.25</v>
      </c>
      <c r="O16" s="281" t="n">
        <v>336629315</v>
      </c>
      <c r="P16" s="276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245" t="n">
        <v>2</v>
      </c>
      <c r="B17" s="245" t="inlineStr">
        <is>
          <t>GPO-446-2</t>
        </is>
      </c>
      <c r="C17" s="246" t="inlineStr">
        <is>
          <t>GDC</t>
        </is>
      </c>
      <c r="D17" s="247" t="n">
        <v>190470</v>
      </c>
      <c r="E17" s="245" t="inlineStr">
        <is>
          <t>신한은행</t>
        </is>
      </c>
      <c r="F17" s="245" t="inlineStr">
        <is>
          <t>M88JX2511NU00018</t>
        </is>
      </c>
      <c r="G17" s="245" t="inlineStr">
        <is>
          <t>2025-11-11</t>
        </is>
      </c>
      <c r="H17" s="245" t="inlineStr">
        <is>
          <t>2026-05-10</t>
        </is>
      </c>
      <c r="I17" s="245" t="inlineStr">
        <is>
          <t>180 Days</t>
        </is>
      </c>
      <c r="J17" s="245" t="inlineStr">
        <is>
          <t>2025-12-08</t>
        </is>
      </c>
      <c r="K17" s="245" t="inlineStr">
        <is>
          <t>2026-06-09</t>
        </is>
      </c>
      <c r="L17" s="248" t="inlineStr">
        <is>
          <t>상환완료</t>
        </is>
      </c>
      <c r="M17" s="249" t="n">
        <v>46182</v>
      </c>
      <c r="N17" s="247" t="n">
        <v>1535.1</v>
      </c>
      <c r="O17" s="272" t="n">
        <v>292390497</v>
      </c>
      <c r="P17" s="245" t="inlineStr">
        <is>
          <t>6/9 만기 상환 완료 (전표 2026-06-09, 승인 402875686), 하단 정산 명세 참조</t>
        </is>
      </c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252" t="inlineStr">
        <is>
          <t>&lt; GPO-446-2 상환 정산 및 수수료 명세 (신한은행, 출처: 은행 수수료 내역서 2026-06-09 조회) &gt;</t>
        </is>
      </c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253" t="inlineStr">
        <is>
          <t>상환일</t>
        </is>
      </c>
      <c r="B26" s="253" t="inlineStr">
        <is>
          <t>상환원금(USD)</t>
        </is>
      </c>
      <c r="C26" s="253" t="inlineStr">
        <is>
          <t>상환환율(₩)</t>
        </is>
      </c>
      <c r="D26" s="253" t="inlineStr">
        <is>
          <t>상환금액(KRW)</t>
        </is>
      </c>
      <c r="E26" s="253" t="inlineStr">
        <is>
          <t>L/C No.</t>
        </is>
      </c>
      <c r="F26" s="253" t="inlineStr">
        <is>
          <t>회계처리(권장)</t>
        </is>
      </c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254" t="n">
        <v>46182</v>
      </c>
      <c r="B27" s="255" t="n">
        <v>190470</v>
      </c>
      <c r="C27" s="255" t="n">
        <v>1535.1</v>
      </c>
      <c r="D27" s="264" t="n">
        <v>292390497</v>
      </c>
      <c r="E27" s="257" t="inlineStr">
        <is>
          <t>M88JX2511NU00018</t>
        </is>
      </c>
      <c r="F27" s="258" t="inlineStr">
        <is>
          <t>차변 외화매입채무(USANCE) 190,470 USD 제거 + 외환차손익, 대변 보통예금 292,390,497</t>
        </is>
      </c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253" t="inlineStr">
        <is>
          <t>No</t>
        </is>
      </c>
      <c r="B29" s="253" t="inlineStr">
        <is>
          <t>징수일</t>
        </is>
      </c>
      <c r="C29" s="253" t="inlineStr">
        <is>
          <t>수수료 구분</t>
        </is>
      </c>
      <c r="D29" s="253" t="inlineStr">
        <is>
          <t>이율(%)</t>
        </is>
      </c>
      <c r="E29" s="253" t="inlineStr">
        <is>
          <t>수수료 기간</t>
        </is>
      </c>
      <c r="F29" s="259" t="inlineStr">
        <is>
          <t>일수</t>
        </is>
      </c>
      <c r="G29" s="260" t="inlineStr">
        <is>
          <t>대상금액(USD)</t>
        </is>
      </c>
      <c r="H29" s="253" t="inlineStr">
        <is>
          <t>USD 상당액</t>
        </is>
      </c>
      <c r="I29" s="253" t="inlineStr">
        <is>
          <t>징수액(KRW)</t>
        </is>
      </c>
      <c r="J29" s="253" t="inlineStr">
        <is>
          <t>회계처리(권장)</t>
        </is>
      </c>
      <c r="K29" s="65" t="n"/>
      <c r="L29" s="65" t="n"/>
      <c r="M29" s="65" t="n"/>
      <c r="N29" s="65" t="n"/>
      <c r="O29" s="65" t="n"/>
      <c r="P29" s="65" t="n"/>
    </row>
    <row r="30" ht="15" customHeight="1">
      <c r="A30" s="257" t="n">
        <v>1</v>
      </c>
      <c r="B30" s="254" t="n">
        <v>45971</v>
      </c>
      <c r="C30" s="261" t="inlineStr">
        <is>
          <t>수입신용장 기간수수료(발행수수료, 360일 단위)</t>
        </is>
      </c>
      <c r="D30" s="262" t="n">
        <v>0.8</v>
      </c>
      <c r="E30" s="257" t="inlineStr">
        <is>
          <t>2025-11-10 ~ 2025-12-26</t>
        </is>
      </c>
      <c r="F30" s="263" t="n">
        <v>47</v>
      </c>
      <c r="G30" s="255" t="n">
        <v>190470</v>
      </c>
      <c r="H30" s="255" t="n">
        <v>198.94</v>
      </c>
      <c r="I30" s="264" t="n">
        <v>289132</v>
      </c>
      <c r="J30" s="257" t="inlineStr">
        <is>
          <t>지급수수료</t>
        </is>
      </c>
      <c r="K30" s="65" t="n"/>
      <c r="L30" s="65" t="n"/>
      <c r="M30" s="65" t="n"/>
      <c r="N30" s="65" t="n"/>
      <c r="O30" s="65" t="n"/>
      <c r="P30" s="65" t="n"/>
    </row>
    <row r="31" ht="15" customHeight="1">
      <c r="A31" s="257" t="n">
        <v>2</v>
      </c>
      <c r="B31" s="254" t="n">
        <v>45971</v>
      </c>
      <c r="C31" s="261" t="inlineStr">
        <is>
          <t>전신료(일반신용장 USANCE)</t>
        </is>
      </c>
      <c r="D31" s="262" t="n"/>
      <c r="E31" s="257" t="inlineStr"/>
      <c r="F31" s="263" t="n">
        <v>0</v>
      </c>
      <c r="G31" s="255" t="n"/>
      <c r="H31" s="255" t="n"/>
      <c r="I31" s="264" t="n">
        <v>13750</v>
      </c>
      <c r="J31" s="257" t="inlineStr">
        <is>
          <t>지급수수료</t>
        </is>
      </c>
      <c r="K31" s="65" t="n"/>
      <c r="L31" s="65" t="n"/>
      <c r="M31" s="65" t="n"/>
      <c r="N31" s="65" t="n"/>
      <c r="O31" s="65" t="n"/>
      <c r="P31" s="65" t="n"/>
    </row>
    <row r="32" ht="15" customHeight="1">
      <c r="A32" s="257" t="n">
        <v>3</v>
      </c>
      <c r="B32" s="254" t="n">
        <v>45980</v>
      </c>
      <c r="C32" s="261" t="inlineStr">
        <is>
          <t>수입화물선취보증서(L/G) 발급수수료</t>
        </is>
      </c>
      <c r="D32" s="262" t="n"/>
      <c r="E32" s="257" t="inlineStr"/>
      <c r="F32" s="263" t="n">
        <v>0</v>
      </c>
      <c r="G32" s="255" t="n"/>
      <c r="H32" s="255" t="n"/>
      <c r="I32" s="264" t="n">
        <v>5000</v>
      </c>
      <c r="J32" s="257" t="inlineStr">
        <is>
          <t>지급수수료</t>
        </is>
      </c>
      <c r="K32" s="65" t="n"/>
      <c r="L32" s="65" t="n"/>
      <c r="M32" s="65" t="n"/>
      <c r="N32" s="65" t="n"/>
      <c r="O32" s="65" t="n"/>
      <c r="P32" s="65" t="n"/>
    </row>
    <row r="33" ht="15" customHeight="1">
      <c r="A33" s="257" t="n">
        <v>4</v>
      </c>
      <c r="B33" s="254" t="n">
        <v>45999</v>
      </c>
      <c r="C33" s="261" t="inlineStr">
        <is>
          <t>수입화물선취보증료(외화)</t>
        </is>
      </c>
      <c r="D33" s="262" t="n">
        <v>3</v>
      </c>
      <c r="E33" s="257" t="inlineStr">
        <is>
          <t>2025-11-19 ~ 2025-12-07</t>
        </is>
      </c>
      <c r="F33" s="263" t="n">
        <v>19</v>
      </c>
      <c r="G33" s="255" t="n">
        <v>190470</v>
      </c>
      <c r="H33" s="255" t="n">
        <v>301.58</v>
      </c>
      <c r="I33" s="264" t="n">
        <v>442866</v>
      </c>
      <c r="J33" s="257" t="inlineStr">
        <is>
          <t>지급수수료</t>
        </is>
      </c>
      <c r="K33" s="65" t="n"/>
      <c r="L33" s="65" t="n"/>
      <c r="M33" s="65" t="n"/>
      <c r="N33" s="65" t="n"/>
      <c r="O33" s="65" t="n"/>
      <c r="P33" s="65" t="n"/>
    </row>
    <row r="34" ht="15" customHeight="1">
      <c r="A34" s="257" t="n">
        <v>5</v>
      </c>
      <c r="B34" s="254" t="n">
        <v>45999</v>
      </c>
      <c r="C34" s="261" t="inlineStr">
        <is>
          <t>수입인수수수료(360일 단위)</t>
        </is>
      </c>
      <c r="D34" s="262" t="n">
        <v>1.2</v>
      </c>
      <c r="E34" s="257" t="inlineStr">
        <is>
          <t>2025-12-08 ~ 2026-05-31</t>
        </is>
      </c>
      <c r="F34" s="263" t="n">
        <v>175</v>
      </c>
      <c r="G34" s="255" t="n">
        <v>190470</v>
      </c>
      <c r="H34" s="255" t="n">
        <v>1111.08</v>
      </c>
      <c r="I34" s="264" t="n">
        <v>1631613</v>
      </c>
      <c r="J34" s="257" t="inlineStr">
        <is>
          <t>이자비용</t>
        </is>
      </c>
      <c r="K34" s="65" t="n"/>
      <c r="L34" s="65" t="n"/>
      <c r="M34" s="65" t="n"/>
      <c r="N34" s="65" t="n"/>
      <c r="O34" s="65" t="n"/>
      <c r="P34" s="65" t="n"/>
    </row>
    <row r="35" ht="15" customHeight="1">
      <c r="A35" s="257" t="n">
        <v>6</v>
      </c>
      <c r="B35" s="254" t="n">
        <v>45999</v>
      </c>
      <c r="C35" s="261" t="inlineStr">
        <is>
          <t>수입기간수수료 환급(-)</t>
        </is>
      </c>
      <c r="D35" s="262" t="n">
        <v>0.8</v>
      </c>
      <c r="E35" s="257" t="inlineStr">
        <is>
          <t>2025-12-08 ~ 2025-12-26</t>
        </is>
      </c>
      <c r="F35" s="263" t="n">
        <v>19</v>
      </c>
      <c r="G35" s="255" t="n">
        <v>190470</v>
      </c>
      <c r="H35" s="255" t="n">
        <v>-80.42</v>
      </c>
      <c r="I35" s="264" t="n">
        <v>-116883</v>
      </c>
      <c r="J35" s="257" t="inlineStr">
        <is>
          <t>지급수수료 차감</t>
        </is>
      </c>
      <c r="K35" s="65" t="n"/>
      <c r="L35" s="65" t="n"/>
      <c r="M35" s="65" t="n"/>
      <c r="N35" s="65" t="n"/>
      <c r="O35" s="65" t="n"/>
      <c r="P35" s="65" t="n"/>
    </row>
    <row r="36" ht="15" customHeight="1">
      <c r="A36" s="257" t="n">
        <v>7</v>
      </c>
      <c r="B36" s="254" t="n">
        <v>46182</v>
      </c>
      <c r="C36" s="261" t="inlineStr">
        <is>
          <t>수입인수수수료(만기연장 8일분)</t>
        </is>
      </c>
      <c r="D36" s="262" t="n">
        <v>1.2</v>
      </c>
      <c r="E36" s="257" t="inlineStr">
        <is>
          <t>2026-06-01 ~ 2026-06-08</t>
        </is>
      </c>
      <c r="F36" s="263" t="n">
        <v>8</v>
      </c>
      <c r="G36" s="255" t="n">
        <v>190470</v>
      </c>
      <c r="H36" s="255" t="n">
        <v>50.79</v>
      </c>
      <c r="I36" s="264" t="n">
        <v>77732</v>
      </c>
      <c r="J36" s="257" t="inlineStr">
        <is>
          <t>이자비용</t>
        </is>
      </c>
      <c r="K36" s="65" t="n"/>
      <c r="L36" s="65" t="n"/>
      <c r="M36" s="65" t="n"/>
      <c r="N36" s="65" t="n"/>
      <c r="O36" s="65" t="n"/>
      <c r="P36" s="65" t="n"/>
    </row>
    <row r="37" ht="15" customHeight="1">
      <c r="A37" s="257" t="n">
        <v>8</v>
      </c>
      <c r="B37" s="254" t="n">
        <v>46182</v>
      </c>
      <c r="C37" s="261" t="inlineStr">
        <is>
          <t>지체료 (인수수수료 연체이자 7%, 8일)</t>
        </is>
      </c>
      <c r="D37" s="262" t="n">
        <v>7</v>
      </c>
      <c r="E37" s="257" t="inlineStr">
        <is>
          <t>2026-06-01 ~ 2026-06-08</t>
        </is>
      </c>
      <c r="F37" s="263" t="n">
        <v>8</v>
      </c>
      <c r="G37" s="255" t="n"/>
      <c r="H37" s="255" t="n"/>
      <c r="I37" s="264" t="n">
        <v>119</v>
      </c>
      <c r="J37" s="257" t="inlineStr">
        <is>
          <t>이자비용</t>
        </is>
      </c>
      <c r="K37" s="65" t="n"/>
      <c r="L37" s="65" t="n"/>
      <c r="M37" s="65" t="n"/>
      <c r="N37" s="65" t="n"/>
      <c r="O37" s="65" t="n"/>
      <c r="P37" s="65" t="n"/>
    </row>
    <row r="38" ht="15" customHeight="1">
      <c r="A38" s="257" t="n">
        <v>9</v>
      </c>
      <c r="B38" s="254" t="n">
        <v>46182</v>
      </c>
      <c r="C38" s="261" t="inlineStr">
        <is>
          <t>해외수수료 (해외은행 인수금융 이자 5.57788%, 180일)</t>
        </is>
      </c>
      <c r="D38" s="273" t="n">
        <v>5.57788</v>
      </c>
      <c r="E38" s="257" t="inlineStr">
        <is>
          <t>2025-12-11 ~ 2026-06-09</t>
        </is>
      </c>
      <c r="F38" s="263" t="n">
        <v>180</v>
      </c>
      <c r="G38" s="255" t="n">
        <v>190400</v>
      </c>
      <c r="H38" s="255" t="n">
        <v>5310.14</v>
      </c>
      <c r="I38" s="264" t="n">
        <v>8154250</v>
      </c>
      <c r="J38" s="257" t="inlineStr">
        <is>
          <t>이자비용</t>
        </is>
      </c>
      <c r="K38" s="65" t="n"/>
      <c r="L38" s="65" t="n"/>
      <c r="M38" s="65" t="n"/>
      <c r="N38" s="65" t="n"/>
      <c r="O38" s="65" t="n"/>
      <c r="P38" s="65" t="n"/>
    </row>
    <row r="39" ht="15" customHeight="1">
      <c r="A39" s="253" t="inlineStr">
        <is>
          <t>합계</t>
        </is>
      </c>
      <c r="B39" s="265" t="n"/>
      <c r="C39" s="266" t="n"/>
      <c r="D39" s="265" t="n"/>
      <c r="E39" s="265" t="n"/>
      <c r="F39" s="265" t="n"/>
      <c r="G39" s="268" t="n"/>
      <c r="H39" s="269" t="n">
        <v>6892.11</v>
      </c>
      <c r="I39" s="270" t="n">
        <v>10497579</v>
      </c>
      <c r="J39" s="253" t="inlineStr">
        <is>
          <t>이자비용 9,863,714 + 지급수수료 633,865</t>
        </is>
      </c>
      <c r="K39" s="65" t="n"/>
      <c r="L39" s="65" t="n"/>
      <c r="M39" s="65" t="n"/>
      <c r="N39" s="65" t="n"/>
      <c r="O39" s="65" t="n"/>
      <c r="P39" s="65" t="n"/>
    </row>
    <row r="40" ht="15" customHeight="1">
      <c r="A40" s="274" t="inlineStr">
        <is>
          <t>주1: USD 상당액 = 대상금액 x 이율 x 일수/360 (전신료, 발급수수료, 지체료는 KRW 정액 또는 KRW 기준 산출)</t>
        </is>
      </c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274" t="inlineStr">
        <is>
          <t>주2: No.1~6 수수료는 징수일에 KRW 기징수, No.7~9는 상환일(6/9) 출금. 회계처리는 각 징수일자 전표로 계상</t>
        </is>
      </c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>
      <c r="A42" s="275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275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252" t="inlineStr">
        <is>
          <t>&lt; CPO-672 상환 정산 및 수수료 명세 (신한은행, 출처: 은행 수수료/인도 내역서 2026-06-16) &gt;</t>
        </is>
      </c>
      <c r="B45" s="65" t="n"/>
      <c r="C45" s="66" t="n"/>
      <c r="D45" s="65" t="n"/>
      <c r="E45" s="65" t="n"/>
      <c r="F45" s="65" t="n"/>
      <c r="G45" s="65" t="n"/>
      <c r="H45" s="65" t="n"/>
      <c r="I45" s="65" t="n"/>
      <c r="J45" s="65" t="n"/>
    </row>
    <row r="46" ht="15.75" customHeight="1">
      <c r="A46" s="253" t="inlineStr">
        <is>
          <t>상환일</t>
        </is>
      </c>
      <c r="B46" s="253" t="inlineStr">
        <is>
          <t>상환원금(USD)</t>
        </is>
      </c>
      <c r="C46" s="253" t="inlineStr">
        <is>
          <t>상환환율(₩)</t>
        </is>
      </c>
      <c r="D46" s="253" t="inlineStr">
        <is>
          <t>상환금액(KRW)</t>
        </is>
      </c>
      <c r="E46" s="253" t="inlineStr">
        <is>
          <t>L/C No.</t>
        </is>
      </c>
      <c r="F46" s="253" t="inlineStr">
        <is>
          <t>회계처리(권장)</t>
        </is>
      </c>
      <c r="G46" s="65" t="n"/>
      <c r="H46" s="65" t="n"/>
      <c r="I46" s="65" t="n"/>
      <c r="J46" s="65" t="n"/>
    </row>
    <row r="47" ht="15.75" customHeight="1">
      <c r="A47" s="254" t="n">
        <v>46189</v>
      </c>
      <c r="B47" s="255" t="n">
        <v>221868</v>
      </c>
      <c r="C47" s="255" t="n">
        <v>1517.25</v>
      </c>
      <c r="D47" s="264" t="n">
        <v>336629315</v>
      </c>
      <c r="E47" s="257" t="inlineStr">
        <is>
          <t>M88JX2510NU00018</t>
        </is>
      </c>
      <c r="F47" s="258" t="inlineStr">
        <is>
          <t>차변 외화매입채무(USANCE) 221,868 USD 제거 + 외환차손익, 대변 보통예금 336,629,315</t>
        </is>
      </c>
      <c r="G47" s="71" t="n"/>
      <c r="H47" s="65" t="n"/>
      <c r="I47" s="65" t="n"/>
      <c r="J47" s="65" t="n"/>
    </row>
    <row r="48" ht="15.75" customHeight="1">
      <c r="A48" s="65" t="n"/>
      <c r="B48" s="65" t="n"/>
      <c r="C48" s="66" t="n"/>
      <c r="D48" s="65" t="n"/>
      <c r="E48" s="65" t="n"/>
      <c r="F48" s="70" t="n"/>
      <c r="G48" s="71" t="n"/>
      <c r="H48" s="65" t="n"/>
      <c r="I48" s="65" t="n"/>
      <c r="J48" s="65" t="n"/>
    </row>
    <row r="49" ht="15.75" customFormat="1" customHeight="1" s="160">
      <c r="A49" s="253" t="inlineStr">
        <is>
          <t>No</t>
        </is>
      </c>
      <c r="B49" s="253" t="inlineStr">
        <is>
          <t>징수일</t>
        </is>
      </c>
      <c r="C49" s="253" t="inlineStr">
        <is>
          <t>수수료 구분</t>
        </is>
      </c>
      <c r="D49" s="253" t="inlineStr">
        <is>
          <t>이율(%)</t>
        </is>
      </c>
      <c r="E49" s="253" t="inlineStr">
        <is>
          <t>수수료 기간</t>
        </is>
      </c>
      <c r="F49" s="259" t="inlineStr">
        <is>
          <t>일수</t>
        </is>
      </c>
      <c r="G49" s="260" t="inlineStr">
        <is>
          <t>대상금액(USD)</t>
        </is>
      </c>
      <c r="H49" s="253" t="inlineStr">
        <is>
          <t>USD 상당액</t>
        </is>
      </c>
      <c r="I49" s="253" t="inlineStr">
        <is>
          <t>징수액(KRW)</t>
        </is>
      </c>
      <c r="J49" s="253" t="inlineStr">
        <is>
          <t>회계처리(권장)</t>
        </is>
      </c>
    </row>
    <row r="50" ht="15.75" customFormat="1" customHeight="1" s="160">
      <c r="A50" s="257" t="n">
        <v>1</v>
      </c>
      <c r="B50" s="254" t="n">
        <v>45946</v>
      </c>
      <c r="C50" s="261" t="inlineStr">
        <is>
          <t>수입신용장 기간수수료(발행수수료, 360일 단위)</t>
        </is>
      </c>
      <c r="D50" s="262" t="n">
        <v>0.8</v>
      </c>
      <c r="E50" s="257" t="inlineStr">
        <is>
          <t>2025-10-16 ~ 2025-12-19</t>
        </is>
      </c>
      <c r="F50" s="263" t="n">
        <v>65</v>
      </c>
      <c r="G50" s="255" t="n">
        <v>221868</v>
      </c>
      <c r="H50" s="255" t="n">
        <v>320.46</v>
      </c>
      <c r="I50" s="264" t="n">
        <v>454691</v>
      </c>
      <c r="J50" s="257" t="inlineStr">
        <is>
          <t>지급수수료</t>
        </is>
      </c>
    </row>
    <row r="51" ht="15.75" customFormat="1" customHeight="1" s="160">
      <c r="A51" s="257" t="n">
        <v>2</v>
      </c>
      <c r="B51" s="254" t="n">
        <v>45946</v>
      </c>
      <c r="C51" s="261" t="inlineStr">
        <is>
          <t>전신료(일반신용장 USANCE)</t>
        </is>
      </c>
      <c r="D51" s="262" t="n"/>
      <c r="E51" s="257" t="inlineStr"/>
      <c r="F51" s="263" t="n">
        <v>0</v>
      </c>
      <c r="G51" s="255" t="n"/>
      <c r="H51" s="255" t="n"/>
      <c r="I51" s="264" t="n">
        <v>13750</v>
      </c>
      <c r="J51" s="257" t="inlineStr">
        <is>
          <t>지급수수료</t>
        </is>
      </c>
    </row>
    <row r="52" ht="15.75" customFormat="1" customHeight="1" s="160">
      <c r="A52" s="257" t="n">
        <v>3</v>
      </c>
      <c r="B52" s="254" t="n">
        <v>45961</v>
      </c>
      <c r="C52" s="261" t="inlineStr">
        <is>
          <t>수입화물선취보증서(L/G) 발급수수료</t>
        </is>
      </c>
      <c r="D52" s="262" t="n"/>
      <c r="E52" s="257" t="inlineStr"/>
      <c r="F52" s="263" t="n">
        <v>0</v>
      </c>
      <c r="G52" s="255" t="n"/>
      <c r="H52" s="255" t="n"/>
      <c r="I52" s="264" t="n">
        <v>5000</v>
      </c>
      <c r="J52" s="257" t="inlineStr">
        <is>
          <t>지급수수료</t>
        </is>
      </c>
    </row>
    <row r="53" ht="15.75" customFormat="1" customHeight="1" s="160">
      <c r="A53" s="257" t="n">
        <v>4</v>
      </c>
      <c r="B53" s="254" t="n">
        <v>46007</v>
      </c>
      <c r="C53" s="261" t="inlineStr">
        <is>
          <t>수입화물선취보증료(외화)</t>
        </is>
      </c>
      <c r="D53" s="262" t="n">
        <v>3</v>
      </c>
      <c r="E53" s="257" t="inlineStr">
        <is>
          <t>2025-10-31 ~ 2025-12-15</t>
        </is>
      </c>
      <c r="F53" s="263" t="n">
        <v>46</v>
      </c>
      <c r="G53" s="255" t="n">
        <v>221868</v>
      </c>
      <c r="H53" s="255" t="n">
        <v>850.55</v>
      </c>
      <c r="I53" s="264" t="n">
        <v>1255244</v>
      </c>
      <c r="J53" s="257" t="inlineStr">
        <is>
          <t>지급수수료</t>
        </is>
      </c>
    </row>
    <row r="54" ht="15.75" customFormat="1" customHeight="1" s="160">
      <c r="A54" s="257" t="n">
        <v>5</v>
      </c>
      <c r="B54" s="254" t="n">
        <v>46007</v>
      </c>
      <c r="C54" s="261" t="inlineStr">
        <is>
          <t>수입인수수수료(360일 단위)</t>
        </is>
      </c>
      <c r="D54" s="262" t="n">
        <v>1.2</v>
      </c>
      <c r="E54" s="257" t="inlineStr">
        <is>
          <t>2025-12-16 ~ 2026-06-14</t>
        </is>
      </c>
      <c r="F54" s="263" t="n">
        <v>181</v>
      </c>
      <c r="G54" s="255" t="n">
        <v>221868</v>
      </c>
      <c r="H54" s="255" t="n">
        <v>1338.62</v>
      </c>
      <c r="I54" s="264" t="n">
        <v>1975645</v>
      </c>
      <c r="J54" s="257" t="inlineStr">
        <is>
          <t>이자비용</t>
        </is>
      </c>
    </row>
    <row r="55" ht="15.75" customFormat="1" customHeight="1" s="160">
      <c r="A55" s="257" t="n">
        <v>6</v>
      </c>
      <c r="B55" s="254" t="n">
        <v>46007</v>
      </c>
      <c r="C55" s="261" t="inlineStr">
        <is>
          <t>수입기간수수료 환급(-)</t>
        </is>
      </c>
      <c r="D55" s="262" t="n">
        <v>0.8</v>
      </c>
      <c r="E55" s="257" t="inlineStr">
        <is>
          <t>2025-12-16 ~ 2025-12-19</t>
        </is>
      </c>
      <c r="F55" s="263" t="n">
        <v>4</v>
      </c>
      <c r="G55" s="255" t="n">
        <v>221868</v>
      </c>
      <c r="H55" s="255" t="n">
        <v>-19.72</v>
      </c>
      <c r="I55" s="264" t="n">
        <v>-27981</v>
      </c>
      <c r="J55" s="257" t="inlineStr">
        <is>
          <t>지급수수료 차감</t>
        </is>
      </c>
    </row>
    <row r="56" ht="15.75" customFormat="1" customHeight="1" s="160">
      <c r="A56" s="257" t="n">
        <v>7</v>
      </c>
      <c r="B56" s="254" t="n">
        <v>46189</v>
      </c>
      <c r="C56" s="261" t="inlineStr">
        <is>
          <t>수입인수수수료(만기연장 1일분)</t>
        </is>
      </c>
      <c r="D56" s="262" t="n">
        <v>1.2</v>
      </c>
      <c r="E56" s="257" t="inlineStr">
        <is>
          <t>2026-06-15 ~ 2026-06-15</t>
        </is>
      </c>
      <c r="F56" s="263" t="n">
        <v>1</v>
      </c>
      <c r="G56" s="255" t="n">
        <v>221868</v>
      </c>
      <c r="H56" s="255" t="n">
        <v>7.4</v>
      </c>
      <c r="I56" s="264" t="n">
        <v>11186</v>
      </c>
      <c r="J56" s="257" t="inlineStr">
        <is>
          <t>이자비용</t>
        </is>
      </c>
    </row>
    <row r="57" ht="15.75" customFormat="1" customHeight="1" s="160">
      <c r="A57" s="257" t="n">
        <v>8</v>
      </c>
      <c r="B57" s="254" t="n">
        <v>46189</v>
      </c>
      <c r="C57" s="261" t="inlineStr">
        <is>
          <t>해외수수료(해외은행 인수금융 이자)</t>
        </is>
      </c>
      <c r="D57" s="262" t="n"/>
      <c r="E57" s="257" t="inlineStr">
        <is>
          <t>2025-12-19 인도 ~ 2026-06-16</t>
        </is>
      </c>
      <c r="F57" s="263" t="n">
        <v>180</v>
      </c>
      <c r="G57" s="255" t="n">
        <v>221868</v>
      </c>
      <c r="H57" s="255" t="n">
        <v>6124.77</v>
      </c>
      <c r="I57" s="264" t="n">
        <v>9292540</v>
      </c>
      <c r="J57" s="257" t="inlineStr">
        <is>
          <t>이자비용</t>
        </is>
      </c>
    </row>
    <row r="58" ht="15.75" customFormat="1" customHeight="1" s="160">
      <c r="A58" s="253" t="inlineStr">
        <is>
          <t>합계</t>
        </is>
      </c>
      <c r="B58" s="265" t="n"/>
      <c r="C58" s="266" t="n"/>
      <c r="D58" s="265" t="n"/>
      <c r="E58" s="265" t="n"/>
      <c r="F58" s="265" t="n"/>
      <c r="G58" s="268" t="n"/>
      <c r="H58" s="269" t="n">
        <v>8622.08</v>
      </c>
      <c r="I58" s="270" t="n">
        <v>12980075</v>
      </c>
      <c r="J58" s="253" t="inlineStr">
        <is>
          <t>이자비용 11,279,371 + 지급수수료 1,700,704</t>
        </is>
      </c>
    </row>
    <row r="59" ht="15.75" customFormat="1" customHeight="1" s="160">
      <c r="A59" s="274" t="inlineStr">
        <is>
          <t>주1: USD 상당액 = 대상금액 x 이율 x 일수/360 (전신료, L/G 발급료는 KRW 정액)</t>
        </is>
      </c>
      <c r="B59" s="65" t="n"/>
      <c r="C59" s="66" t="n"/>
      <c r="D59" s="65" t="n"/>
      <c r="E59" s="65" t="n"/>
      <c r="F59" s="65" t="n"/>
      <c r="G59" s="71" t="n"/>
      <c r="H59" s="65" t="n"/>
      <c r="I59" s="65" t="n"/>
      <c r="J59" s="65" t="n"/>
    </row>
    <row r="60" ht="15.75" customFormat="1" customHeight="1" s="160">
      <c r="A60" s="274" t="inlineStr">
        <is>
          <t>주2: No.1~6 수수료는 징수일에 KRW 기징수, No.7(만기연장)·해외수수료는 상환일(6/16) 출금. 회계처리는 각 징수일자 전표로 계상</t>
        </is>
      </c>
      <c r="B60" s="65" t="n"/>
      <c r="C60" s="66" t="n"/>
      <c r="D60" s="65" t="n"/>
      <c r="E60" s="65" t="n"/>
      <c r="F60" s="65" t="n"/>
      <c r="G60" s="71" t="n"/>
      <c r="H60" s="65" t="n"/>
      <c r="I60" s="65" t="n"/>
      <c r="J60" s="65" t="n"/>
    </row>
    <row r="61" ht="15.75" customFormat="1" customHeight="1" s="160">
      <c r="A61" s="274" t="inlineStr">
        <is>
          <t>주3: 원금 상환 (외국환 거래표 2026-06-16, REF M88JX2510NU00018): 원금 USD 221,868.00 x 적용환율 1,517.25 = 원화 336,629,315 (은행 실제 출금액)</t>
        </is>
      </c>
      <c r="B61" s="65" t="n"/>
      <c r="C61" s="66" t="n"/>
      <c r="D61" s="65" t="n"/>
      <c r="E61" s="65" t="n"/>
      <c r="F61" s="65" t="n"/>
      <c r="G61" s="71" t="n"/>
      <c r="H61" s="65" t="n"/>
      <c r="I61" s="65" t="n"/>
      <c r="J61" s="65" t="n"/>
    </row>
    <row r="62" ht="15.75" customFormat="1" customHeight="1" s="160">
      <c r="A62" s="274" t="inlineStr">
        <is>
          <t>주4: 6/16 실제 출금 합계 345,933,041원 = 원금 336,629,315 + 만기연장 인수수수료 11,186 + 해외수수료 9,292,540</t>
        </is>
      </c>
      <c r="B62" s="65" t="n"/>
      <c r="C62" s="66" t="n"/>
      <c r="D62" s="65" t="n"/>
      <c r="E62" s="65" t="n"/>
      <c r="F62" s="65" t="n"/>
      <c r="G62" s="71" t="n"/>
      <c r="H62" s="65" t="n"/>
      <c r="I62" s="65" t="n"/>
      <c r="J62" s="65" t="n"/>
    </row>
    <row r="63" ht="15.75" customFormat="1" customHeight="1" s="160">
      <c r="A63" s="274" t="inlineStr">
        <is>
          <t>주5: 해외수수료 KRW 9,292,540은 USD 6,124.77 x 1,517.20 환산 추정 (은행 명세상 KRW 미표기). lcCustomsData 해외수수료(USD 6,124.77)와 일치</t>
        </is>
      </c>
      <c r="B63" s="65" t="n"/>
      <c r="C63" s="66" t="n"/>
      <c r="D63" s="65" t="n"/>
      <c r="E63" s="65" t="n"/>
      <c r="F63" s="65" t="n"/>
      <c r="G63" s="71" t="n"/>
      <c r="H63" s="65" t="n"/>
      <c r="I63" s="65" t="n"/>
      <c r="J63" s="65" t="n"/>
    </row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2026-08-04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  <row r="41">
      <c r="A41" s="210" t="n">
        <v>46173</v>
      </c>
      <c r="B41" s="210" t="n">
        <v>46179</v>
      </c>
      <c r="C41" s="207" t="inlineStr">
        <is>
          <t>USD</t>
        </is>
      </c>
      <c r="D41" s="211" t="n">
        <v>1507.15</v>
      </c>
    </row>
    <row r="42">
      <c r="A42" s="210" t="n">
        <v>46180</v>
      </c>
      <c r="B42" s="210" t="n">
        <v>46186</v>
      </c>
      <c r="C42" s="207" t="inlineStr">
        <is>
          <t>USD</t>
        </is>
      </c>
      <c r="D42" s="211" t="n">
        <v>1514.68</v>
      </c>
    </row>
    <row r="43">
      <c r="A43" s="282" t="n">
        <v>46187</v>
      </c>
      <c r="B43" s="282" t="n">
        <v>46193</v>
      </c>
      <c r="C43" s="207" t="inlineStr">
        <is>
          <t>USD</t>
        </is>
      </c>
      <c r="D43" s="211" t="n">
        <v>1531.46</v>
      </c>
    </row>
    <row r="44">
      <c r="A44" s="282" t="n">
        <v>46194</v>
      </c>
      <c r="B44" s="282" t="n">
        <v>46200</v>
      </c>
      <c r="C44" s="207" t="inlineStr">
        <is>
          <t>USD</t>
        </is>
      </c>
      <c r="D44" s="211" t="n">
        <v>1516.02</v>
      </c>
    </row>
    <row r="45">
      <c r="A45" s="282" t="n">
        <v>46201</v>
      </c>
      <c r="B45" s="282" t="n">
        <v>46207</v>
      </c>
      <c r="C45" s="207" t="inlineStr">
        <is>
          <t>USD</t>
        </is>
      </c>
      <c r="D45" s="211" t="n">
        <v>1538.3</v>
      </c>
    </row>
    <row r="46">
      <c r="A46" s="282" t="n">
        <v>46208</v>
      </c>
      <c r="B46" s="282" t="n">
        <v>46214</v>
      </c>
      <c r="C46" s="207" t="inlineStr">
        <is>
          <t>USD</t>
        </is>
      </c>
      <c r="D46" s="211" t="n">
        <v>1548.52</v>
      </c>
    </row>
    <row r="47">
      <c r="A47" s="282" t="n">
        <v>46215</v>
      </c>
      <c r="B47" s="282" t="n">
        <v>46221</v>
      </c>
      <c r="C47" s="207" t="inlineStr">
        <is>
          <t>USD</t>
        </is>
      </c>
      <c r="D47" s="211" t="n">
        <v>1522.44</v>
      </c>
    </row>
    <row r="48">
      <c r="A48" s="282" t="n">
        <v>46222</v>
      </c>
      <c r="B48" s="282" t="n">
        <v>46228</v>
      </c>
      <c r="C48" s="207" t="inlineStr">
        <is>
          <t>USD</t>
        </is>
      </c>
      <c r="D48" s="211" t="n">
        <v>1498.25</v>
      </c>
    </row>
    <row r="49">
      <c r="A49" s="282" t="n">
        <v>46229</v>
      </c>
      <c r="B49" s="282" t="n">
        <v>46235</v>
      </c>
      <c r="C49" s="207" t="inlineStr">
        <is>
          <t>USD</t>
        </is>
      </c>
      <c r="D49" s="211" t="n">
        <v>1478.44</v>
      </c>
    </row>
    <row r="50">
      <c r="A50" s="282" t="n">
        <v>46236</v>
      </c>
      <c r="B50" s="282" t="n">
        <v>46242</v>
      </c>
      <c r="C50" s="207" t="inlineStr">
        <is>
          <t>USD</t>
        </is>
      </c>
      <c r="D50" s="211" t="n">
        <v>1457.82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2026-08-04T01:46:50Z</dcterms:modified>
  <cp:lastModifiedBy>원석 도</cp:lastModifiedBy>
  <cp:revision>0</cp:revision>
</cp:coreProperties>
</file>