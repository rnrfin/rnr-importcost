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400" yWindow="-1360" windowWidth="38400" windowHeight="21000" tabRatio="500" firstSheet="0" activeTab="0" autoFilterDateGrouping="1"/>
  </bookViews>
  <sheets>
    <sheet xmlns:r="http://schemas.openxmlformats.org/officeDocument/2006/relationships" name="PO별 개당 수입원가" sheetId="1" state="visible" r:id="rId1"/>
    <sheet xmlns:r="http://schemas.openxmlformats.org/officeDocument/2006/relationships" name="라이센스_워런티" sheetId="2" state="visible" r:id="rId2"/>
    <sheet xmlns:r="http://schemas.openxmlformats.org/officeDocument/2006/relationships" name="합배송_비용안분" sheetId="3" state="visible" r:id="rId3"/>
    <sheet xmlns:r="http://schemas.openxmlformats.org/officeDocument/2006/relationships" name="외화송금내역" sheetId="4" state="visible" r:id="rId4"/>
    <sheet xmlns:r="http://schemas.openxmlformats.org/officeDocument/2006/relationships" name="Usance_LC" sheetId="5" state="visible" r:id="rId5"/>
    <sheet xmlns:r="http://schemas.openxmlformats.org/officeDocument/2006/relationships" name="환율" sheetId="6" state="visible" r:id="rId6"/>
  </sheets>
  <definedNames>
    <definedName name="RemitTable1">'외화송금내역'!$A$3:$L$52</definedName>
    <definedName name="RemitTable2">'외화송금내역'!$A$55:$L$129</definedName>
    <definedName name="FxRateTable">'환율'!$A$7:$D$57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yyyy\-mm\-dd"/>
    <numFmt numFmtId="165" formatCode="0.0%"/>
    <numFmt numFmtId="166" formatCode="#,##0.0"/>
    <numFmt numFmtId="167" formatCode="0&quot;일&quot;"/>
    <numFmt numFmtId="168" formatCode="0.0"/>
    <numFmt numFmtId="169" formatCode="0.00000"/>
    <numFmt numFmtId="170" formatCode="yyyy-mm-dd h:mm:ss"/>
  </numFmts>
  <fonts count="28">
    <font>
      <name val="맑은 고딕"/>
      <charset val="129"/>
      <family val="2"/>
      <color theme="1"/>
      <sz val="11"/>
    </font>
    <font>
      <name val="맑은 고딕"/>
      <charset val="129"/>
      <family val="2"/>
      <b val="1"/>
      <sz val="11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color theme="1"/>
      <sz val="11"/>
    </font>
    <font>
      <name val="맑은 고딕"/>
      <charset val="129"/>
      <family val="2"/>
      <sz val="8"/>
    </font>
    <font>
      <name val="맑은 고딕"/>
      <charset val="129"/>
      <family val="2"/>
      <b val="1"/>
      <color theme="1"/>
      <sz val="11"/>
    </font>
    <font>
      <name val="맑은 고딕"/>
      <charset val="129"/>
      <family val="2"/>
      <i val="1"/>
      <color rgb="FF888888"/>
      <sz val="8"/>
    </font>
    <font>
      <name val="맑은 고딕"/>
      <charset val="129"/>
      <family val="2"/>
      <b val="1"/>
      <color theme="1"/>
      <sz val="9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color rgb="FF2E7D32"/>
      <sz val="9"/>
    </font>
    <font>
      <name val="맑은 고딕"/>
      <charset val="129"/>
      <family val="2"/>
      <color rgb="FF999999"/>
      <sz val="9"/>
    </font>
    <font>
      <name val="맑은 고딕"/>
      <charset val="129"/>
      <family val="2"/>
      <color rgb="FF666666"/>
      <sz val="8"/>
    </font>
    <font>
      <name val="맑은 고딕"/>
      <charset val="129"/>
      <family val="2"/>
      <color rgb="FF888888"/>
      <sz val="8"/>
    </font>
    <font>
      <name val="맑은 고딕"/>
      <charset val="129"/>
      <family val="2"/>
      <sz val="9"/>
    </font>
    <font>
      <name val="맑은 고딕"/>
      <charset val="129"/>
      <family val="2"/>
      <b val="1"/>
      <sz val="11"/>
    </font>
    <font>
      <name val="맑은 고딕"/>
      <charset val="129"/>
      <family val="2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b val="1"/>
      <color rgb="FFFFFFFF"/>
      <sz val="9"/>
    </font>
    <font>
      <name val="맑은 고딕"/>
      <charset val="129"/>
      <family val="2"/>
      <b val="1"/>
      <color rgb="FF0563C1"/>
      <sz val="11"/>
      <u val="single"/>
    </font>
    <font>
      <name val="맑은 고딕"/>
      <charset val="129"/>
      <family val="2"/>
      <color theme="1"/>
      <sz val="9"/>
    </font>
    <font>
      <name val="맑은 고딕"/>
      <charset val="129"/>
      <family val="2"/>
      <b val="1"/>
      <sz val="9"/>
    </font>
    <font>
      <name val="맑은 고딕"/>
      <charset val="129"/>
      <family val="2"/>
      <sz val="9"/>
    </font>
    <font>
      <name val="맑은 고딕"/>
      <charset val="129"/>
      <family val="2"/>
      <color rgb="FF000000"/>
      <sz val="11"/>
    </font>
    <font>
      <name val="맑은 고딕"/>
      <b val="1"/>
      <sz val="11"/>
    </font>
  </fonts>
  <fills count="21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D6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8D5F5"/>
        <bgColor rgb="FFE8D5F5"/>
      </patternFill>
    </fill>
    <fill>
      <patternFill patternType="solid">
        <fgColor rgb="FFE8D5F5"/>
        <bgColor rgb="FFE8D5F5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8D5F5"/>
      </patternFill>
    </fill>
    <fill>
      <patternFill patternType="solid">
        <fgColor rgb="FFD6E4F0"/>
      </patternFill>
    </fill>
    <fill>
      <patternFill patternType="solid">
        <f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</patternFill>
    </fill>
    <fill>
      <patternFill patternType="solid">
        <fgColor rgb="FFD6E4F0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5" fillId="0" borderId="8"/>
  </cellStyleXfs>
  <cellXfs count="35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4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right" vertical="center" wrapText="1"/>
    </xf>
    <xf numFmtId="0" fontId="5" fillId="0" borderId="0" pivotButton="0" quotePrefix="0" xfId="0"/>
    <xf numFmtId="3" fontId="2" fillId="2" borderId="1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4" fontId="3" fillId="3" borderId="1" applyAlignment="1" pivotButton="0" quotePrefix="0" xfId="0">
      <alignment horizontal="right" vertical="center" wrapText="1"/>
    </xf>
    <xf numFmtId="4" fontId="3" fillId="6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3" fontId="10" fillId="0" borderId="2" applyAlignment="1" pivotButton="0" quotePrefix="0" xfId="0">
      <alignment horizontal="right" vertical="center"/>
    </xf>
    <xf numFmtId="0" fontId="11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/>
    </xf>
    <xf numFmtId="0" fontId="12" fillId="0" borderId="2" applyAlignment="1" pivotButton="0" quotePrefix="0" xfId="0">
      <alignment horizontal="center" vertical="center"/>
    </xf>
    <xf numFmtId="3" fontId="12" fillId="0" borderId="2" applyAlignment="1" pivotButton="0" quotePrefix="0" xfId="0">
      <alignment horizontal="right" vertical="center"/>
    </xf>
    <xf numFmtId="0" fontId="12" fillId="0" borderId="2" applyAlignment="1" pivotButton="0" quotePrefix="0" xfId="0">
      <alignment horizontal="left" vertical="center"/>
    </xf>
    <xf numFmtId="0" fontId="9" fillId="2" borderId="2" applyAlignment="1" pivotButton="0" quotePrefix="0" xfId="0">
      <alignment horizontal="center" vertical="center"/>
    </xf>
    <xf numFmtId="3" fontId="9" fillId="2" borderId="2" applyAlignment="1" pivotButton="0" quotePrefix="0" xfId="0">
      <alignment horizontal="right" vertical="center"/>
    </xf>
    <xf numFmtId="0" fontId="5" fillId="2" borderId="2" pivotButton="0" quotePrefix="0" xfId="0"/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center" vertical="center"/>
    </xf>
    <xf numFmtId="4" fontId="9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166" fontId="10" fillId="0" borderId="1" applyAlignment="1" pivotButton="0" quotePrefix="0" xfId="0">
      <alignment horizontal="right" vertical="center"/>
    </xf>
    <xf numFmtId="3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2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4" fontId="15" fillId="3" borderId="1" applyAlignment="1" pivotButton="0" quotePrefix="0" xfId="0">
      <alignment horizontal="right" vertical="center" wrapText="1"/>
    </xf>
    <xf numFmtId="165" fontId="15" fillId="3" borderId="1" applyAlignment="1" pivotButton="0" quotePrefix="0" xfId="0">
      <alignment horizontal="right" vertical="center"/>
    </xf>
    <xf numFmtId="3" fontId="15" fillId="3" borderId="1" applyAlignment="1" pivotButton="0" quotePrefix="0" xfId="0">
      <alignment horizontal="right" vertical="center"/>
    </xf>
    <xf numFmtId="0" fontId="1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 wrapText="1"/>
    </xf>
    <xf numFmtId="4" fontId="15" fillId="0" borderId="1" applyAlignment="1" pivotButton="0" quotePrefix="0" xfId="0">
      <alignment horizontal="center" vertical="center"/>
    </xf>
    <xf numFmtId="3" fontId="15" fillId="0" borderId="1" applyAlignment="1" pivotButton="0" quotePrefix="0" xfId="0">
      <alignment horizontal="right" vertical="center"/>
    </xf>
    <xf numFmtId="3" fontId="15" fillId="0" borderId="1" applyAlignment="1" pivotButton="0" quotePrefix="0" xfId="0">
      <alignment horizontal="right" vertical="center" wrapText="1"/>
    </xf>
    <xf numFmtId="0" fontId="3" fillId="8" borderId="1" applyAlignment="1" pivotButton="0" quotePrefix="0" xfId="0">
      <alignment horizontal="center" vertical="center" wrapText="1"/>
    </xf>
    <xf numFmtId="4" fontId="3" fillId="8" borderId="1" applyAlignment="1" pivotButton="0" quotePrefix="0" xfId="0">
      <alignment horizontal="right" vertical="center" wrapText="1"/>
    </xf>
    <xf numFmtId="0" fontId="15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4" fontId="15" fillId="8" borderId="1" applyAlignment="1" pivotButton="0" quotePrefix="0" xfId="0">
      <alignment horizontal="right" vertical="center" wrapText="1"/>
    </xf>
    <xf numFmtId="164" fontId="15" fillId="8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0" fontId="16" fillId="0" borderId="0" pivotButton="0" quotePrefix="0" xfId="0"/>
    <xf numFmtId="0" fontId="18" fillId="0" borderId="0" pivotButton="0" quotePrefix="0" xfId="0"/>
    <xf numFmtId="0" fontId="17" fillId="0" borderId="0" pivotButton="0" quotePrefix="0" xfId="0"/>
    <xf numFmtId="0" fontId="17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 wrapText="1"/>
    </xf>
    <xf numFmtId="4" fontId="17" fillId="0" borderId="1" applyAlignment="1" pivotButton="0" quotePrefix="0" xfId="0">
      <alignment horizontal="center" vertical="center"/>
    </xf>
    <xf numFmtId="3" fontId="17" fillId="0" borderId="1" applyAlignment="1" pivotButton="0" quotePrefix="0" xfId="0">
      <alignment horizontal="right" vertical="center"/>
    </xf>
    <xf numFmtId="3" fontId="17" fillId="0" borderId="1" applyAlignment="1" pivotButton="0" quotePrefix="0" xfId="0">
      <alignment horizontal="right" vertical="center" wrapText="1"/>
    </xf>
    <xf numFmtId="0" fontId="19" fillId="11" borderId="4" applyAlignment="1" pivotButton="0" quotePrefix="0" xfId="0">
      <alignment horizontal="center" vertical="center"/>
    </xf>
    <xf numFmtId="164" fontId="19" fillId="11" borderId="4" applyAlignment="1" pivotButton="0" quotePrefix="0" xfId="0">
      <alignment horizontal="center" vertical="center"/>
    </xf>
    <xf numFmtId="4" fontId="19" fillId="11" borderId="4" applyAlignment="1" pivotButton="0" quotePrefix="0" xfId="0">
      <alignment horizontal="right" vertical="center"/>
    </xf>
    <xf numFmtId="166" fontId="19" fillId="11" borderId="4" applyAlignment="1" pivotButton="0" quotePrefix="0" xfId="0">
      <alignment horizontal="right" vertical="center"/>
    </xf>
    <xf numFmtId="3" fontId="19" fillId="11" borderId="4" applyAlignment="1" pivotButton="0" quotePrefix="0" xfId="0">
      <alignment horizontal="right" vertical="center"/>
    </xf>
    <xf numFmtId="0" fontId="19" fillId="11" borderId="4" applyAlignment="1" pivotButton="0" quotePrefix="0" xfId="0">
      <alignment horizontal="right" vertical="center"/>
    </xf>
    <xf numFmtId="164" fontId="19" fillId="11" borderId="4" applyAlignment="1" pivotButton="0" quotePrefix="0" xfId="0">
      <alignment horizontal="right" vertical="center"/>
    </xf>
    <xf numFmtId="3" fontId="19" fillId="12" borderId="4" applyAlignment="1" pivotButton="0" quotePrefix="0" xfId="0">
      <alignment horizontal="right" vertical="center"/>
    </xf>
    <xf numFmtId="0" fontId="19" fillId="13" borderId="4" applyAlignment="1" pivotButton="0" quotePrefix="0" xfId="0">
      <alignment horizontal="center" vertical="center"/>
    </xf>
    <xf numFmtId="164" fontId="19" fillId="13" borderId="4" applyAlignment="1" pivotButton="0" quotePrefix="0" xfId="0">
      <alignment horizontal="center" vertical="center"/>
    </xf>
    <xf numFmtId="4" fontId="19" fillId="13" borderId="4" applyAlignment="1" pivotButton="0" quotePrefix="0" xfId="0">
      <alignment horizontal="right" vertical="center"/>
    </xf>
    <xf numFmtId="166" fontId="19" fillId="13" borderId="4" applyAlignment="1" pivotButton="0" quotePrefix="0" xfId="0">
      <alignment horizontal="right" vertical="center"/>
    </xf>
    <xf numFmtId="3" fontId="19" fillId="13" borderId="4" applyAlignment="1" pivotButton="0" quotePrefix="0" xfId="0">
      <alignment horizontal="right" vertical="center"/>
    </xf>
    <xf numFmtId="0" fontId="19" fillId="13" borderId="4" applyAlignment="1" pivotButton="0" quotePrefix="0" xfId="0">
      <alignment horizontal="right" vertical="center"/>
    </xf>
    <xf numFmtId="164" fontId="19" fillId="13" borderId="4" applyAlignment="1" pivotButton="0" quotePrefix="0" xfId="0">
      <alignment horizontal="right" vertical="center"/>
    </xf>
    <xf numFmtId="0" fontId="20" fillId="14" borderId="4" applyAlignment="1" pivotButton="0" quotePrefix="0" xfId="0">
      <alignment horizontal="center" vertical="center"/>
    </xf>
    <xf numFmtId="4" fontId="20" fillId="14" borderId="4" applyAlignment="1" pivotButton="0" quotePrefix="0" xfId="0">
      <alignment horizontal="right" vertical="center"/>
    </xf>
    <xf numFmtId="0" fontId="20" fillId="14" borderId="4" applyAlignment="1" pivotButton="0" quotePrefix="0" xfId="0">
      <alignment horizontal="right" vertical="center"/>
    </xf>
    <xf numFmtId="3" fontId="20" fillId="14" borderId="4" applyAlignment="1" pivotButton="0" quotePrefix="0" xfId="0">
      <alignment horizontal="right" vertical="center"/>
    </xf>
    <xf numFmtId="0" fontId="21" fillId="15" borderId="4" applyAlignment="1" pivotButton="0" quotePrefix="0" xfId="0">
      <alignment horizontal="center" vertical="center"/>
    </xf>
    <xf numFmtId="4" fontId="21" fillId="15" borderId="4" applyAlignment="1" pivotButton="0" quotePrefix="0" xfId="0">
      <alignment horizontal="right" vertical="center"/>
    </xf>
    <xf numFmtId="0" fontId="21" fillId="15" borderId="4" applyAlignment="1" pivotButton="0" quotePrefix="0" xfId="0">
      <alignment horizontal="right" vertical="center"/>
    </xf>
    <xf numFmtId="3" fontId="21" fillId="15" borderId="4" applyAlignment="1" pivotButton="0" quotePrefix="0" xfId="0">
      <alignment horizontal="right" vertical="center"/>
    </xf>
    <xf numFmtId="3" fontId="19" fillId="11" borderId="4" applyAlignment="1" pivotButton="0" quotePrefix="0" xfId="0">
      <alignment horizontal="center" vertical="center"/>
    </xf>
    <xf numFmtId="3" fontId="19" fillId="13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4" fontId="15" fillId="0" borderId="1" applyAlignment="1" pivotButton="0" quotePrefix="0" xfId="0">
      <alignment horizontal="right" vertical="center"/>
    </xf>
    <xf numFmtId="4" fontId="17" fillId="0" borderId="1" applyAlignment="1" pivotButton="0" quotePrefix="0" xfId="0">
      <alignment horizontal="right" vertical="center"/>
    </xf>
    <xf numFmtId="0" fontId="3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 wrapText="1"/>
    </xf>
    <xf numFmtId="164" fontId="3" fillId="0" borderId="4" applyAlignment="1" pivotButton="0" quotePrefix="0" xfId="0">
      <alignment horizontal="center" vertical="center"/>
    </xf>
    <xf numFmtId="4" fontId="3" fillId="0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right" vertical="center"/>
    </xf>
    <xf numFmtId="3" fontId="3" fillId="10" borderId="4" applyAlignment="1" pivotButton="0" quotePrefix="0" xfId="0">
      <alignment horizontal="right" vertical="center"/>
    </xf>
    <xf numFmtId="3" fontId="3" fillId="0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/>
    </xf>
    <xf numFmtId="0" fontId="3" fillId="16" borderId="4" applyAlignment="1" pivotButton="0" quotePrefix="0" xfId="0">
      <alignment horizontal="center" vertical="center" wrapText="1"/>
    </xf>
    <xf numFmtId="164" fontId="3" fillId="16" borderId="4" applyAlignment="1" pivotButton="0" quotePrefix="0" xfId="0">
      <alignment horizontal="center" vertical="center" wrapText="1"/>
    </xf>
    <xf numFmtId="164" fontId="3" fillId="16" borderId="4" applyAlignment="1" pivotButton="0" quotePrefix="0" xfId="0">
      <alignment horizontal="center" vertical="center"/>
    </xf>
    <xf numFmtId="4" fontId="3" fillId="16" borderId="4" applyAlignment="1" pivotButton="0" quotePrefix="0" xfId="0">
      <alignment horizontal="right" vertical="center"/>
    </xf>
    <xf numFmtId="3" fontId="3" fillId="16" borderId="4" applyAlignment="1" pivotButton="0" quotePrefix="0" xfId="0">
      <alignment horizontal="right" vertical="center"/>
    </xf>
    <xf numFmtId="3" fontId="3" fillId="16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/>
    </xf>
    <xf numFmtId="0" fontId="19" fillId="9" borderId="4" applyAlignment="1" pivotButton="0" quotePrefix="0" xfId="0">
      <alignment horizontal="center" vertical="center" wrapText="1"/>
    </xf>
    <xf numFmtId="4" fontId="19" fillId="9" borderId="4" applyAlignment="1" pivotButton="0" quotePrefix="0" xfId="0">
      <alignment horizontal="right" vertical="center" wrapText="1"/>
    </xf>
    <xf numFmtId="164" fontId="19" fillId="9" borderId="4" applyAlignment="1" pivotButton="0" quotePrefix="0" xfId="0">
      <alignment horizontal="center" vertical="center"/>
    </xf>
    <xf numFmtId="0" fontId="19" fillId="0" borderId="0" pivotButton="0" quotePrefix="0" xfId="0"/>
    <xf numFmtId="0" fontId="19" fillId="3" borderId="4" applyAlignment="1" pivotButton="0" quotePrefix="0" xfId="0">
      <alignment horizontal="center" vertical="center"/>
    </xf>
    <xf numFmtId="4" fontId="19" fillId="3" borderId="4" applyAlignment="1" pivotButton="0" quotePrefix="0" xfId="0">
      <alignment horizontal="right" vertical="center" wrapText="1"/>
    </xf>
    <xf numFmtId="165" fontId="19" fillId="3" borderId="4" applyAlignment="1" pivotButton="0" quotePrefix="0" xfId="0">
      <alignment horizontal="right" vertical="center"/>
    </xf>
    <xf numFmtId="3" fontId="19" fillId="3" borderId="4" applyAlignment="1" pivotButton="0" quotePrefix="0" xfId="0">
      <alignment horizontal="right" vertical="center"/>
    </xf>
    <xf numFmtId="0" fontId="19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center" vertical="center" wrapText="1"/>
    </xf>
    <xf numFmtId="4" fontId="19" fillId="0" borderId="4" applyAlignment="1" pivotButton="0" quotePrefix="0" xfId="0">
      <alignment horizontal="center" vertical="center"/>
    </xf>
    <xf numFmtId="4" fontId="19" fillId="0" borderId="4" applyAlignment="1" pivotButton="0" quotePrefix="0" xfId="0">
      <alignment horizontal="right" vertical="center"/>
    </xf>
    <xf numFmtId="3" fontId="19" fillId="0" borderId="4" applyAlignment="1" pivotButton="0" quotePrefix="0" xfId="0">
      <alignment horizontal="right" vertical="center"/>
    </xf>
    <xf numFmtId="3" fontId="19" fillId="0" borderId="4" applyAlignment="1" pivotButton="0" quotePrefix="0" xfId="0">
      <alignment horizontal="right" vertical="center" wrapText="1"/>
    </xf>
    <xf numFmtId="10" fontId="19" fillId="0" borderId="4" applyAlignment="1" pivotButton="0" quotePrefix="0" xfId="0">
      <alignment horizontal="right" vertical="center"/>
    </xf>
    <xf numFmtId="0" fontId="3" fillId="3" borderId="4" applyAlignment="1" pivotButton="0" quotePrefix="0" xfId="0">
      <alignment horizontal="center" vertical="center"/>
    </xf>
    <xf numFmtId="4" fontId="3" fillId="3" borderId="4" applyAlignment="1" pivotButton="0" quotePrefix="0" xfId="0">
      <alignment horizontal="right" vertical="center" wrapText="1"/>
    </xf>
    <xf numFmtId="165" fontId="3" fillId="3" borderId="4" applyAlignment="1" pivotButton="0" quotePrefix="0" xfId="0">
      <alignment horizontal="right" vertical="center"/>
    </xf>
    <xf numFmtId="3" fontId="3" fillId="3" borderId="4" applyAlignment="1" pivotButton="0" quotePrefix="0" xfId="0">
      <alignment horizontal="right" vertical="center"/>
    </xf>
    <xf numFmtId="0" fontId="23" fillId="17" borderId="1" applyAlignment="1" pivotButton="0" quotePrefix="0" xfId="0">
      <alignment horizontal="center" vertical="center"/>
    </xf>
    <xf numFmtId="0" fontId="23" fillId="17" borderId="1" applyAlignment="1" pivotButton="0" quotePrefix="0" xfId="0">
      <alignment horizontal="center" vertical="center" wrapText="1"/>
    </xf>
    <xf numFmtId="4" fontId="23" fillId="17" borderId="1" applyAlignment="1" pivotButton="0" quotePrefix="0" xfId="0">
      <alignment horizontal="center" vertical="center"/>
    </xf>
    <xf numFmtId="167" fontId="23" fillId="17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4" fillId="18" borderId="7" applyAlignment="1" pivotButton="0" quotePrefix="0" xfId="0">
      <alignment horizontal="center" vertical="center"/>
    </xf>
    <xf numFmtId="164" fontId="25" fillId="0" borderId="7" applyAlignment="1" pivotButton="0" quotePrefix="0" xfId="0">
      <alignment horizontal="center" vertical="center"/>
    </xf>
    <xf numFmtId="4" fontId="25" fillId="0" borderId="7" applyAlignment="1" pivotButton="0" quotePrefix="0" xfId="0">
      <alignment horizontal="right" vertical="center"/>
    </xf>
    <xf numFmtId="0" fontId="25" fillId="0" borderId="7" applyAlignment="1" pivotButton="0" quotePrefix="0" xfId="0">
      <alignment horizontal="center" vertical="center"/>
    </xf>
    <xf numFmtId="2" fontId="25" fillId="0" borderId="7" applyAlignment="1" pivotButton="0" quotePrefix="0" xfId="0">
      <alignment horizontal="left" vertical="center"/>
    </xf>
    <xf numFmtId="2" fontId="24" fillId="18" borderId="7" applyAlignment="1" pivotButton="0" quotePrefix="0" xfId="0">
      <alignment horizontal="center" vertical="center"/>
    </xf>
    <xf numFmtId="3" fontId="24" fillId="18" borderId="7" applyAlignment="1" pivotButton="0" quotePrefix="0" xfId="0">
      <alignment horizontal="center" vertical="center"/>
    </xf>
    <xf numFmtId="0" fontId="25" fillId="0" borderId="7" applyAlignment="1" pivotButton="0" quotePrefix="0" xfId="0">
      <alignment horizontal="left" vertical="center"/>
    </xf>
    <xf numFmtId="168" fontId="25" fillId="0" borderId="7" applyAlignment="1" pivotButton="0" quotePrefix="0" xfId="0">
      <alignment horizontal="center" vertical="center"/>
    </xf>
    <xf numFmtId="2" fontId="25" fillId="0" borderId="7" applyAlignment="1" pivotButton="0" quotePrefix="0" xfId="0">
      <alignment horizontal="center" vertical="center"/>
    </xf>
    <xf numFmtId="3" fontId="25" fillId="0" borderId="7" applyAlignment="1" pivotButton="0" quotePrefix="0" xfId="0">
      <alignment horizontal="right" vertical="center"/>
    </xf>
    <xf numFmtId="0" fontId="25" fillId="18" borderId="7" applyAlignment="1" pivotButton="0" quotePrefix="0" xfId="0">
      <alignment horizontal="center" vertical="center"/>
    </xf>
    <xf numFmtId="0" fontId="25" fillId="18" borderId="7" applyAlignment="1" pivotButton="0" quotePrefix="0" xfId="0">
      <alignment horizontal="left" vertical="center" wrapText="1"/>
    </xf>
    <xf numFmtId="3" fontId="25" fillId="18" borderId="7" applyAlignment="1" pivotButton="0" quotePrefix="0" xfId="0">
      <alignment horizontal="center" vertical="center"/>
    </xf>
    <xf numFmtId="4" fontId="24" fillId="18" borderId="7" applyAlignment="1" pivotButton="0" quotePrefix="0" xfId="0">
      <alignment horizontal="right" vertical="center"/>
    </xf>
    <xf numFmtId="3" fontId="24" fillId="18" borderId="7" applyAlignment="1" pivotButton="0" quotePrefix="0" xfId="0">
      <alignment horizontal="right" vertical="center"/>
    </xf>
    <xf numFmtId="3" fontId="23" fillId="17" borderId="1" applyAlignment="1" pivotButton="0" quotePrefix="0" xfId="0">
      <alignment horizontal="center" vertical="center"/>
    </xf>
    <xf numFmtId="169" fontId="25" fillId="0" borderId="7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/>
    </xf>
    <xf numFmtId="0" fontId="25" fillId="0" borderId="8" pivotButton="0" quotePrefix="0" xfId="0"/>
    <xf numFmtId="0" fontId="23" fillId="17" borderId="4" applyAlignment="1" pivotButton="0" quotePrefix="0" xfId="0">
      <alignment horizontal="center" vertical="center"/>
    </xf>
    <xf numFmtId="0" fontId="23" fillId="17" borderId="4" applyAlignment="1" pivotButton="0" quotePrefix="0" xfId="0">
      <alignment horizontal="center" vertical="center" wrapText="1"/>
    </xf>
    <xf numFmtId="4" fontId="23" fillId="17" borderId="4" applyAlignment="1" pivotButton="0" quotePrefix="0" xfId="0">
      <alignment horizontal="center" vertical="center"/>
    </xf>
    <xf numFmtId="167" fontId="23" fillId="17" borderId="4" applyAlignment="1" pivotButton="0" quotePrefix="0" xfId="0">
      <alignment horizontal="center" vertical="center"/>
    </xf>
    <xf numFmtId="164" fontId="23" fillId="17" borderId="4" applyAlignment="1" pivotButton="0" quotePrefix="0" xfId="0">
      <alignment horizontal="center" vertical="center"/>
    </xf>
    <xf numFmtId="3" fontId="23" fillId="17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 wrapText="1"/>
    </xf>
    <xf numFmtId="164" fontId="3" fillId="4" borderId="4" applyAlignment="1" pivotButton="0" quotePrefix="0" xfId="0">
      <alignment horizontal="center" vertical="center"/>
    </xf>
    <xf numFmtId="4" fontId="3" fillId="4" borderId="4" applyAlignment="1" pivotButton="0" quotePrefix="0" xfId="0">
      <alignment horizontal="right" vertical="center"/>
    </xf>
    <xf numFmtId="3" fontId="3" fillId="4" borderId="4" applyAlignment="1" pivotButton="0" quotePrefix="0" xfId="0">
      <alignment horizontal="right" vertical="center"/>
    </xf>
    <xf numFmtId="3" fontId="3" fillId="4" borderId="4" applyAlignment="1" pivotButton="0" quotePrefix="0" xfId="0">
      <alignment horizontal="center" vertical="center"/>
    </xf>
    <xf numFmtId="0" fontId="3" fillId="6" borderId="4" applyAlignment="1" pivotButton="0" quotePrefix="0" xfId="0">
      <alignment horizontal="center" vertical="center"/>
    </xf>
    <xf numFmtId="4" fontId="3" fillId="6" borderId="4" applyAlignment="1" pivotButton="0" quotePrefix="0" xfId="0">
      <alignment horizontal="right" vertical="center" wrapText="1"/>
    </xf>
    <xf numFmtId="165" fontId="3" fillId="6" borderId="4" applyAlignment="1" pivotButton="0" quotePrefix="0" xfId="0">
      <alignment horizontal="right" vertical="center"/>
    </xf>
    <xf numFmtId="3" fontId="3" fillId="6" borderId="4" applyAlignment="1" pivotButton="0" quotePrefix="0" xfId="0">
      <alignment horizontal="right" vertical="center"/>
    </xf>
    <xf numFmtId="0" fontId="3" fillId="5" borderId="4" applyAlignment="1" pivotButton="0" quotePrefix="0" xfId="0">
      <alignment horizontal="center" vertical="center"/>
    </xf>
    <xf numFmtId="0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 wrapText="1"/>
    </xf>
    <xf numFmtId="164" fontId="3" fillId="5" borderId="4" applyAlignment="1" pivotButton="0" quotePrefix="0" xfId="0">
      <alignment horizontal="center" vertical="center"/>
    </xf>
    <xf numFmtId="4" fontId="3" fillId="5" borderId="4" applyAlignment="1" pivotButton="0" quotePrefix="0" xfId="0">
      <alignment horizontal="right" vertical="center"/>
    </xf>
    <xf numFmtId="3" fontId="3" fillId="5" borderId="4" applyAlignment="1" pivotButton="0" quotePrefix="0" xfId="0">
      <alignment horizontal="right" vertical="center"/>
    </xf>
    <xf numFmtId="3" fontId="3" fillId="5" borderId="4" applyAlignment="1" pivotButton="0" quotePrefix="0" xfId="0">
      <alignment horizontal="center" vertical="center"/>
    </xf>
    <xf numFmtId="0" fontId="19" fillId="9" borderId="3" applyAlignment="1" pivotButton="0" quotePrefix="0" xfId="0">
      <alignment horizontal="center" vertical="center" wrapText="1"/>
    </xf>
    <xf numFmtId="164" fontId="19" fillId="9" borderId="3" applyAlignment="1" pivotButton="0" quotePrefix="0" xfId="0">
      <alignment horizontal="center" vertical="center" wrapText="1"/>
    </xf>
    <xf numFmtId="4" fontId="19" fillId="9" borderId="3" applyAlignment="1" pivotButton="0" quotePrefix="0" xfId="0">
      <alignment horizontal="right" vertical="center" wrapText="1"/>
    </xf>
    <xf numFmtId="3" fontId="19" fillId="9" borderId="3" applyAlignment="1" pivotButton="0" quotePrefix="0" xfId="0">
      <alignment horizontal="right" vertical="center" wrapText="1"/>
    </xf>
    <xf numFmtId="3" fontId="19" fillId="9" borderId="3" applyAlignment="1" pivotButton="0" quotePrefix="0" xfId="0">
      <alignment horizontal="center" vertical="center" wrapText="1"/>
    </xf>
    <xf numFmtId="166" fontId="3" fillId="0" borderId="4" applyAlignment="1" pivotButton="0" quotePrefix="0" xfId="0">
      <alignment horizontal="center" vertical="center"/>
    </xf>
    <xf numFmtId="166" fontId="3" fillId="0" borderId="4" applyAlignment="1" pivotButton="0" quotePrefix="0" xfId="0">
      <alignment horizontal="right" vertical="center"/>
    </xf>
    <xf numFmtId="166" fontId="3" fillId="4" borderId="4" applyAlignment="1" pivotButton="0" quotePrefix="0" xfId="0">
      <alignment horizontal="center" vertical="center"/>
    </xf>
    <xf numFmtId="166" fontId="3" fillId="4" borderId="4" applyAlignment="1" pivotButton="0" quotePrefix="0" xfId="0">
      <alignment horizontal="right" vertical="center"/>
    </xf>
    <xf numFmtId="0" fontId="19" fillId="0" borderId="3" applyAlignment="1" pivotButton="0" quotePrefix="0" xfId="0">
      <alignment horizontal="center" vertical="center" wrapText="1"/>
    </xf>
    <xf numFmtId="164" fontId="19" fillId="0" borderId="3" applyAlignment="1" pivotButton="0" quotePrefix="0" xfId="0">
      <alignment horizontal="center" vertical="center" wrapText="1"/>
    </xf>
    <xf numFmtId="4" fontId="19" fillId="0" borderId="3" applyAlignment="1" pivotButton="0" quotePrefix="0" xfId="0">
      <alignment horizontal="right" vertical="center" wrapText="1"/>
    </xf>
    <xf numFmtId="166" fontId="19" fillId="0" borderId="3" applyAlignment="1" pivotButton="0" quotePrefix="0" xfId="0">
      <alignment horizontal="center" vertical="center"/>
    </xf>
    <xf numFmtId="3" fontId="19" fillId="0" borderId="3" applyAlignment="1" pivotButton="0" quotePrefix="0" xfId="0">
      <alignment horizontal="right" vertical="center" wrapText="1"/>
    </xf>
    <xf numFmtId="166" fontId="19" fillId="0" borderId="3" applyAlignment="1" pivotButton="0" quotePrefix="0" xfId="0">
      <alignment horizontal="right" vertical="center" wrapText="1"/>
    </xf>
    <xf numFmtId="3" fontId="19" fillId="10" borderId="3" applyAlignment="1" pivotButton="0" quotePrefix="0" xfId="0">
      <alignment horizontal="right" vertical="center" wrapText="1"/>
    </xf>
    <xf numFmtId="3" fontId="19" fillId="0" borderId="3" applyAlignment="1" pivotButton="0" quotePrefix="0" xfId="0">
      <alignment horizontal="center" vertical="center" wrapText="1"/>
    </xf>
    <xf numFmtId="166" fontId="19" fillId="11" borderId="4" applyAlignment="1" pivotButton="0" quotePrefix="0" xfId="0">
      <alignment horizontal="center" vertical="center"/>
    </xf>
    <xf numFmtId="166" fontId="3" fillId="5" borderId="4" applyAlignment="1" pivotButton="0" quotePrefix="0" xfId="0">
      <alignment horizontal="center" vertical="center"/>
    </xf>
    <xf numFmtId="166" fontId="3" fillId="5" borderId="4" applyAlignment="1" pivotButton="0" quotePrefix="0" xfId="0">
      <alignment horizontal="right" vertical="center"/>
    </xf>
    <xf numFmtId="166" fontId="19" fillId="13" borderId="4" applyAlignment="1" pivotButton="0" quotePrefix="0" xfId="0">
      <alignment horizontal="center" vertical="center"/>
    </xf>
    <xf numFmtId="166" fontId="19" fillId="9" borderId="3" applyAlignment="1" pivotButton="0" quotePrefix="0" xfId="0">
      <alignment horizontal="center" vertical="center"/>
    </xf>
    <xf numFmtId="166" fontId="19" fillId="9" borderId="3" applyAlignment="1" pivotButton="0" quotePrefix="0" xfId="0">
      <alignment horizontal="right" vertical="center" wrapText="1"/>
    </xf>
    <xf numFmtId="166" fontId="3" fillId="16" borderId="4" applyAlignment="1" pivotButton="0" quotePrefix="0" xfId="0">
      <alignment horizontal="center" vertical="center"/>
    </xf>
    <xf numFmtId="166" fontId="3" fillId="16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4" fillId="0" borderId="4" applyAlignment="1" pivotButton="0" quotePrefix="0" xfId="0">
      <alignment vertical="center"/>
    </xf>
    <xf numFmtId="0" fontId="14" fillId="0" borderId="4" applyAlignment="1" pivotButton="0" quotePrefix="0" xfId="0">
      <alignment horizontal="left" vertical="center"/>
    </xf>
    <xf numFmtId="0" fontId="20" fillId="14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2" fillId="2" borderId="4" applyAlignment="1" pivotButton="0" quotePrefix="0" xfId="0">
      <alignment horizontal="center" vertical="center" wrapText="1"/>
    </xf>
    <xf numFmtId="0" fontId="21" fillId="15" borderId="4" applyAlignment="1" pivotButton="0" quotePrefix="0" xfId="0">
      <alignment horizontal="center" vertical="center"/>
    </xf>
    <xf numFmtId="3" fontId="2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  <xf numFmtId="0" fontId="24" fillId="2" borderId="4" applyAlignment="1" pivotButton="0" quotePrefix="0" xfId="0">
      <alignment horizontal="center" vertical="center" wrapText="1"/>
    </xf>
    <xf numFmtId="0" fontId="9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0" borderId="0" applyAlignment="1" pivotButton="0" quotePrefix="0" xfId="0">
      <alignment horizontal="center" vertical="center" wrapText="1"/>
    </xf>
    <xf numFmtId="0" fontId="27" fillId="20" borderId="7" applyAlignment="1" pivotButton="0" quotePrefix="0" xfId="0">
      <alignment horizontal="center" vertical="center" wrapText="1"/>
    </xf>
    <xf numFmtId="0" fontId="27" fillId="20" borderId="5" pivotButton="0" quotePrefix="0" xfId="0"/>
    <xf numFmtId="0" fontId="27" fillId="20" borderId="6" pivotButton="0" quotePrefix="0" xfId="0"/>
    <xf numFmtId="0" fontId="6" fillId="2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3" fontId="2" fillId="2" borderId="7" applyAlignment="1" pivotButton="0" quotePrefix="0" xfId="0">
      <alignment horizontal="center" vertical="center" wrapText="1"/>
    </xf>
    <xf numFmtId="166" fontId="2" fillId="2" borderId="1" applyAlignment="1" pivotButton="0" quotePrefix="0" xfId="0">
      <alignment horizontal="center" vertical="center" wrapText="1"/>
    </xf>
    <xf numFmtId="0" fontId="25" fillId="0" borderId="7" applyAlignment="1" pivotButton="0" quotePrefix="0" xfId="0">
      <alignment horizontal="center" vertical="center" wrapText="1"/>
    </xf>
    <xf numFmtId="164" fontId="25" fillId="0" borderId="7" applyAlignment="1" pivotButton="0" quotePrefix="0" xfId="0">
      <alignment horizontal="center" vertical="center" wrapText="1"/>
    </xf>
    <xf numFmtId="164" fontId="25" fillId="0" borderId="7" applyAlignment="1" pivotButton="0" quotePrefix="0" xfId="0">
      <alignment horizontal="center" vertical="center"/>
    </xf>
    <xf numFmtId="166" fontId="25" fillId="0" borderId="7" applyAlignment="1" pivotButton="0" quotePrefix="0" xfId="0">
      <alignment horizontal="center" vertical="center"/>
    </xf>
    <xf numFmtId="166" fontId="25" fillId="0" borderId="7" applyAlignment="1" pivotButton="0" quotePrefix="0" xfId="0">
      <alignment horizontal="right" vertical="center"/>
    </xf>
    <xf numFmtId="3" fontId="25" fillId="10" borderId="7" applyAlignment="1" pivotButton="0" quotePrefix="0" xfId="0">
      <alignment horizontal="right" vertical="center"/>
    </xf>
    <xf numFmtId="3" fontId="25" fillId="0" borderId="7" applyAlignment="1" pivotButton="0" quotePrefix="0" xfId="0">
      <alignment horizontal="center" vertical="center"/>
    </xf>
    <xf numFmtId="3" fontId="25" fillId="3" borderId="7" applyAlignment="1" pivotButton="0" quotePrefix="0" xfId="0">
      <alignment horizontal="right" vertical="center"/>
    </xf>
    <xf numFmtId="0" fontId="25" fillId="4" borderId="7" applyAlignment="1" pivotButton="0" quotePrefix="0" xfId="0">
      <alignment horizontal="center" vertical="center"/>
    </xf>
    <xf numFmtId="0" fontId="25" fillId="4" borderId="7" applyAlignment="1" pivotButton="0" quotePrefix="0" xfId="0">
      <alignment horizontal="center" vertical="center" wrapText="1"/>
    </xf>
    <xf numFmtId="164" fontId="25" fillId="4" borderId="7" applyAlignment="1" pivotButton="0" quotePrefix="0" xfId="0">
      <alignment horizontal="center" vertical="center" wrapText="1"/>
    </xf>
    <xf numFmtId="164" fontId="25" fillId="4" borderId="7" applyAlignment="1" pivotButton="0" quotePrefix="0" xfId="0">
      <alignment horizontal="center" vertical="center"/>
    </xf>
    <xf numFmtId="4" fontId="25" fillId="4" borderId="7" applyAlignment="1" pivotButton="0" quotePrefix="0" xfId="0">
      <alignment horizontal="right" vertical="center"/>
    </xf>
    <xf numFmtId="166" fontId="25" fillId="4" borderId="7" applyAlignment="1" pivotButton="0" quotePrefix="0" xfId="0">
      <alignment horizontal="center" vertical="center"/>
    </xf>
    <xf numFmtId="3" fontId="25" fillId="4" borderId="7" applyAlignment="1" pivotButton="0" quotePrefix="0" xfId="0">
      <alignment horizontal="right" vertical="center"/>
    </xf>
    <xf numFmtId="166" fontId="25" fillId="4" borderId="7" applyAlignment="1" pivotButton="0" quotePrefix="0" xfId="0">
      <alignment horizontal="right" vertical="center"/>
    </xf>
    <xf numFmtId="3" fontId="25" fillId="19" borderId="7" applyAlignment="1" pivotButton="0" quotePrefix="0" xfId="0">
      <alignment horizontal="right" vertical="center"/>
    </xf>
    <xf numFmtId="3" fontId="25" fillId="4" borderId="7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164" fontId="25" fillId="0" borderId="3" applyAlignment="1" pivotButton="0" quotePrefix="0" xfId="0">
      <alignment horizontal="center" vertical="center" wrapText="1"/>
    </xf>
    <xf numFmtId="4" fontId="25" fillId="0" borderId="3" applyAlignment="1" pivotButton="0" quotePrefix="0" xfId="0">
      <alignment horizontal="right" vertical="center" wrapText="1"/>
    </xf>
    <xf numFmtId="166" fontId="25" fillId="0" borderId="3" applyAlignment="1" pivotButton="0" quotePrefix="0" xfId="0">
      <alignment horizontal="center" vertical="center"/>
    </xf>
    <xf numFmtId="3" fontId="25" fillId="0" borderId="3" applyAlignment="1" pivotButton="0" quotePrefix="0" xfId="0">
      <alignment horizontal="right" vertical="center" wrapText="1"/>
    </xf>
    <xf numFmtId="166" fontId="25" fillId="0" borderId="3" applyAlignment="1" pivotButton="0" quotePrefix="0" xfId="0">
      <alignment horizontal="right" vertical="center" wrapText="1"/>
    </xf>
    <xf numFmtId="3" fontId="25" fillId="10" borderId="3" applyAlignment="1" pivotButton="0" quotePrefix="0" xfId="0">
      <alignment horizontal="right" vertical="center" wrapText="1"/>
    </xf>
    <xf numFmtId="3" fontId="25" fillId="0" borderId="3" applyAlignment="1" pivotButton="0" quotePrefix="0" xfId="0">
      <alignment horizontal="center" vertical="center" wrapText="1"/>
    </xf>
    <xf numFmtId="0" fontId="25" fillId="11" borderId="7" applyAlignment="1" pivotButton="0" quotePrefix="0" xfId="0">
      <alignment horizontal="center" vertical="center"/>
    </xf>
    <xf numFmtId="164" fontId="25" fillId="11" borderId="7" applyAlignment="1" pivotButton="0" quotePrefix="0" xfId="0">
      <alignment horizontal="center" vertical="center"/>
    </xf>
    <xf numFmtId="4" fontId="25" fillId="11" borderId="7" applyAlignment="1" pivotButton="0" quotePrefix="0" xfId="0">
      <alignment horizontal="right" vertical="center"/>
    </xf>
    <xf numFmtId="166" fontId="25" fillId="11" borderId="7" applyAlignment="1" pivotButton="0" quotePrefix="0" xfId="0">
      <alignment horizontal="center" vertical="center"/>
    </xf>
    <xf numFmtId="3" fontId="25" fillId="11" borderId="7" applyAlignment="1" pivotButton="0" quotePrefix="0" xfId="0">
      <alignment horizontal="right" vertical="center"/>
    </xf>
    <xf numFmtId="166" fontId="25" fillId="11" borderId="7" applyAlignment="1" pivotButton="0" quotePrefix="0" xfId="0">
      <alignment horizontal="right" vertical="center"/>
    </xf>
    <xf numFmtId="3" fontId="25" fillId="17" borderId="7" applyAlignment="1" pivotButton="0" quotePrefix="0" xfId="0">
      <alignment horizontal="right" vertical="center"/>
    </xf>
    <xf numFmtId="3" fontId="25" fillId="11" borderId="7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 wrapText="1"/>
    </xf>
    <xf numFmtId="164" fontId="25" fillId="5" borderId="7" applyAlignment="1" pivotButton="0" quotePrefix="0" xfId="0">
      <alignment horizontal="center" vertical="center" wrapText="1"/>
    </xf>
    <xf numFmtId="164" fontId="25" fillId="5" borderId="7" applyAlignment="1" pivotButton="0" quotePrefix="0" xfId="0">
      <alignment horizontal="center" vertical="center"/>
    </xf>
    <xf numFmtId="4" fontId="25" fillId="5" borderId="7" applyAlignment="1" pivotButton="0" quotePrefix="0" xfId="0">
      <alignment horizontal="right" vertical="center"/>
    </xf>
    <xf numFmtId="166" fontId="25" fillId="5" borderId="7" applyAlignment="1" pivotButton="0" quotePrefix="0" xfId="0">
      <alignment horizontal="center" vertical="center"/>
    </xf>
    <xf numFmtId="3" fontId="25" fillId="5" borderId="7" applyAlignment="1" pivotButton="0" quotePrefix="0" xfId="0">
      <alignment horizontal="right" vertical="center"/>
    </xf>
    <xf numFmtId="166" fontId="25" fillId="5" borderId="7" applyAlignment="1" pivotButton="0" quotePrefix="0" xfId="0">
      <alignment horizontal="right" vertical="center"/>
    </xf>
    <xf numFmtId="3" fontId="25" fillId="5" borderId="7" applyAlignment="1" pivotButton="0" quotePrefix="0" xfId="0">
      <alignment horizontal="center" vertical="center"/>
    </xf>
    <xf numFmtId="0" fontId="25" fillId="13" borderId="7" applyAlignment="1" pivotButton="0" quotePrefix="0" xfId="0">
      <alignment horizontal="center" vertical="center"/>
    </xf>
    <xf numFmtId="164" fontId="25" fillId="13" borderId="7" applyAlignment="1" pivotButton="0" quotePrefix="0" xfId="0">
      <alignment horizontal="center" vertical="center"/>
    </xf>
    <xf numFmtId="4" fontId="25" fillId="13" borderId="7" applyAlignment="1" pivotButton="0" quotePrefix="0" xfId="0">
      <alignment horizontal="right" vertical="center"/>
    </xf>
    <xf numFmtId="166" fontId="25" fillId="13" borderId="7" applyAlignment="1" pivotButton="0" quotePrefix="0" xfId="0">
      <alignment horizontal="center" vertical="center"/>
    </xf>
    <xf numFmtId="3" fontId="25" fillId="13" borderId="7" applyAlignment="1" pivotButton="0" quotePrefix="0" xfId="0">
      <alignment horizontal="right" vertical="center"/>
    </xf>
    <xf numFmtId="166" fontId="25" fillId="13" borderId="7" applyAlignment="1" pivotButton="0" quotePrefix="0" xfId="0">
      <alignment horizontal="right" vertical="center"/>
    </xf>
    <xf numFmtId="3" fontId="25" fillId="13" borderId="7" applyAlignment="1" pivotButton="0" quotePrefix="0" xfId="0">
      <alignment horizontal="center" vertical="center"/>
    </xf>
    <xf numFmtId="0" fontId="25" fillId="9" borderId="3" applyAlignment="1" pivotButton="0" quotePrefix="0" xfId="0">
      <alignment horizontal="center" vertical="center" wrapText="1"/>
    </xf>
    <xf numFmtId="164" fontId="25" fillId="9" borderId="3" applyAlignment="1" pivotButton="0" quotePrefix="0" xfId="0">
      <alignment horizontal="center" vertical="center" wrapText="1"/>
    </xf>
    <xf numFmtId="4" fontId="25" fillId="9" borderId="3" applyAlignment="1" pivotButton="0" quotePrefix="0" xfId="0">
      <alignment horizontal="right" vertical="center" wrapText="1"/>
    </xf>
    <xf numFmtId="166" fontId="25" fillId="9" borderId="3" applyAlignment="1" pivotButton="0" quotePrefix="0" xfId="0">
      <alignment horizontal="center" vertical="center"/>
    </xf>
    <xf numFmtId="3" fontId="25" fillId="9" borderId="3" applyAlignment="1" pivotButton="0" quotePrefix="0" xfId="0">
      <alignment horizontal="right" vertical="center" wrapText="1"/>
    </xf>
    <xf numFmtId="166" fontId="25" fillId="9" borderId="3" applyAlignment="1" pivotButton="0" quotePrefix="0" xfId="0">
      <alignment horizontal="right" vertical="center" wrapText="1"/>
    </xf>
    <xf numFmtId="3" fontId="25" fillId="9" borderId="3" applyAlignment="1" pivotButton="0" quotePrefix="0" xfId="0">
      <alignment horizontal="center" vertical="center" wrapText="1"/>
    </xf>
    <xf numFmtId="0" fontId="25" fillId="16" borderId="7" applyAlignment="1" pivotButton="0" quotePrefix="0" xfId="0">
      <alignment horizontal="center" vertical="center"/>
    </xf>
    <xf numFmtId="0" fontId="25" fillId="16" borderId="7" applyAlignment="1" pivotButton="0" quotePrefix="0" xfId="0">
      <alignment horizontal="center" vertical="center" wrapText="1"/>
    </xf>
    <xf numFmtId="164" fontId="25" fillId="16" borderId="7" applyAlignment="1" pivotButton="0" quotePrefix="0" xfId="0">
      <alignment horizontal="center" vertical="center" wrapText="1"/>
    </xf>
    <xf numFmtId="164" fontId="25" fillId="16" borderId="7" applyAlignment="1" pivotButton="0" quotePrefix="0" xfId="0">
      <alignment horizontal="center" vertical="center"/>
    </xf>
    <xf numFmtId="4" fontId="25" fillId="16" borderId="7" applyAlignment="1" pivotButton="0" quotePrefix="0" xfId="0">
      <alignment horizontal="right" vertical="center"/>
    </xf>
    <xf numFmtId="166" fontId="25" fillId="16" borderId="7" applyAlignment="1" pivotButton="0" quotePrefix="0" xfId="0">
      <alignment horizontal="center" vertical="center"/>
    </xf>
    <xf numFmtId="3" fontId="25" fillId="16" borderId="7" applyAlignment="1" pivotButton="0" quotePrefix="0" xfId="0">
      <alignment horizontal="right" vertical="center"/>
    </xf>
    <xf numFmtId="166" fontId="25" fillId="16" borderId="7" applyAlignment="1" pivotButton="0" quotePrefix="0" xfId="0">
      <alignment horizontal="right" vertical="center"/>
    </xf>
    <xf numFmtId="3" fontId="25" fillId="16" borderId="7" applyAlignment="1" pivotButton="0" quotePrefix="0" xfId="0">
      <alignment horizontal="center" vertical="center"/>
    </xf>
    <xf numFmtId="0" fontId="24" fillId="18" borderId="7" applyAlignment="1" pivotButton="0" quotePrefix="0" xfId="0">
      <alignment horizontal="right" vertical="center"/>
    </xf>
    <xf numFmtId="0" fontId="21" fillId="15" borderId="7" applyAlignment="1" pivotButton="0" quotePrefix="0" xfId="0">
      <alignment horizontal="center" vertical="center"/>
    </xf>
    <xf numFmtId="3" fontId="21" fillId="15" borderId="7" applyAlignment="1" pivotButton="0" quotePrefix="0" xfId="0">
      <alignment horizontal="right" vertical="center"/>
    </xf>
    <xf numFmtId="0" fontId="21" fillId="15" borderId="7" applyAlignment="1" pivotButton="0" quotePrefix="0" xfId="0">
      <alignment horizontal="right" vertical="center"/>
    </xf>
    <xf numFmtId="4" fontId="21" fillId="15" borderId="7" applyAlignment="1" pivotButton="0" quotePrefix="0" xfId="0">
      <alignment horizontal="right" vertical="center"/>
    </xf>
    <xf numFmtId="0" fontId="27" fillId="20" borderId="0" pivotButton="0" quotePrefix="0" xfId="0"/>
    <xf numFmtId="164" fontId="3" fillId="5" borderId="1" applyAlignment="1" pivotButton="0" quotePrefix="0" xfId="0">
      <alignment horizontal="center" vertical="center"/>
    </xf>
    <xf numFmtId="164" fontId="3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center" vertical="center"/>
    </xf>
    <xf numFmtId="164" fontId="19" fillId="9" borderId="4" applyAlignment="1" pivotButton="0" quotePrefix="0" xfId="0">
      <alignment horizontal="center" vertical="center"/>
    </xf>
    <xf numFmtId="0" fontId="25" fillId="9" borderId="7" applyAlignment="1" pivotButton="0" quotePrefix="0" xfId="0">
      <alignment horizontal="center" vertical="center"/>
    </xf>
    <xf numFmtId="0" fontId="25" fillId="9" borderId="7" applyAlignment="1" pivotButton="0" quotePrefix="0" xfId="0">
      <alignment horizontal="center" vertical="center" wrapText="1"/>
    </xf>
    <xf numFmtId="4" fontId="25" fillId="9" borderId="7" applyAlignment="1" pivotButton="0" quotePrefix="0" xfId="0">
      <alignment horizontal="right" vertical="center" wrapText="1"/>
    </xf>
    <xf numFmtId="164" fontId="25" fillId="9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  <xf numFmtId="165" fontId="15" fillId="3" borderId="1" applyAlignment="1" pivotButton="0" quotePrefix="0" xfId="0">
      <alignment horizontal="right" vertical="center"/>
    </xf>
    <xf numFmtId="165" fontId="19" fillId="3" borderId="4" applyAlignment="1" pivotButton="0" quotePrefix="0" xfId="0">
      <alignment horizontal="right" vertical="center"/>
    </xf>
    <xf numFmtId="165" fontId="3" fillId="3" borderId="4" applyAlignment="1" pivotButton="0" quotePrefix="0" xfId="0">
      <alignment horizontal="right" vertical="center"/>
    </xf>
    <xf numFmtId="165" fontId="3" fillId="6" borderId="4" applyAlignment="1" pivotButton="0" quotePrefix="0" xfId="0">
      <alignment horizontal="right" vertical="center"/>
    </xf>
    <xf numFmtId="0" fontId="25" fillId="3" borderId="7" applyAlignment="1" pivotButton="0" quotePrefix="0" xfId="0">
      <alignment horizontal="center" vertical="center"/>
    </xf>
    <xf numFmtId="4" fontId="25" fillId="3" borderId="7" applyAlignment="1" pivotButton="0" quotePrefix="0" xfId="0">
      <alignment horizontal="right" vertical="center" wrapText="1"/>
    </xf>
    <xf numFmtId="165" fontId="25" fillId="3" borderId="7" applyAlignment="1" pivotButton="0" quotePrefix="0" xfId="0">
      <alignment horizontal="right" vertical="center"/>
    </xf>
    <xf numFmtId="4" fontId="25" fillId="0" borderId="7" applyAlignment="1" pivotButton="0" quotePrefix="0" xfId="0">
      <alignment horizontal="center" vertical="center"/>
    </xf>
    <xf numFmtId="3" fontId="25" fillId="0" borderId="7" applyAlignment="1" pivotButton="0" quotePrefix="0" xfId="0">
      <alignment horizontal="right" vertical="center" wrapText="1"/>
    </xf>
    <xf numFmtId="0" fontId="24" fillId="2" borderId="7" applyAlignment="1" pivotButton="0" quotePrefix="0" xfId="0">
      <alignment horizontal="center" vertical="center" wrapText="1"/>
    </xf>
    <xf numFmtId="10" fontId="25" fillId="0" borderId="7" applyAlignment="1" pivotButton="0" quotePrefix="0" xfId="0">
      <alignment horizontal="right" vertical="center"/>
    </xf>
    <xf numFmtId="0" fontId="7" fillId="2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8" pivotButton="0" quotePrefix="0" xfId="0"/>
    <xf numFmtId="0" fontId="13" fillId="0" borderId="8" applyAlignment="1" pivotButton="0" quotePrefix="0" xfId="0">
      <alignment horizontal="left" vertical="center"/>
    </xf>
    <xf numFmtId="0" fontId="9" fillId="2" borderId="7" applyAlignment="1" pivotButton="0" quotePrefix="0" xfId="0">
      <alignment horizontal="center" vertical="center" wrapText="1"/>
    </xf>
    <xf numFmtId="167" fontId="23" fillId="17" borderId="4" applyAlignment="1" pivotButton="0" quotePrefix="0" xfId="0">
      <alignment horizontal="center" vertical="center"/>
    </xf>
    <xf numFmtId="164" fontId="23" fillId="17" borderId="4" applyAlignment="1" pivotButton="0" quotePrefix="0" xfId="0">
      <alignment horizontal="center" vertical="center"/>
    </xf>
    <xf numFmtId="167" fontId="23" fillId="17" borderId="1" applyAlignment="1" pivotButton="0" quotePrefix="0" xfId="0">
      <alignment horizontal="center" vertical="center"/>
    </xf>
    <xf numFmtId="164" fontId="23" fillId="17" borderId="1" applyAlignment="1" pivotButton="0" quotePrefix="0" xfId="0">
      <alignment horizontal="center" vertical="center"/>
    </xf>
    <xf numFmtId="166" fontId="10" fillId="0" borderId="1" applyAlignment="1" pivotButton="0" quotePrefix="0" xfId="0">
      <alignment horizontal="right" vertical="center"/>
    </xf>
    <xf numFmtId="168" fontId="25" fillId="0" borderId="7" applyAlignment="1" pivotButton="0" quotePrefix="0" xfId="0">
      <alignment horizontal="center" vertical="center"/>
    </xf>
    <xf numFmtId="169" fontId="25" fillId="0" borderId="7" applyAlignment="1" pivotButton="0" quotePrefix="0" xfId="0">
      <alignment horizontal="center" vertical="center"/>
    </xf>
    <xf numFmtId="0" fontId="1" fillId="2" borderId="7" applyAlignment="1" pivotButton="0" quotePrefix="0" xfId="0">
      <alignment horizontal="center" vertical="center"/>
    </xf>
    <xf numFmtId="0" fontId="14" fillId="0" borderId="7" applyAlignment="1" pivotButton="0" quotePrefix="0" xfId="0">
      <alignment horizontal="left" vertical="center"/>
    </xf>
    <xf numFmtId="0" fontId="14" fillId="0" borderId="7" applyAlignment="1" pivotButton="0" quotePrefix="0" xfId="0">
      <alignment vertical="center"/>
    </xf>
    <xf numFmtId="164" fontId="3" fillId="0" borderId="1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88888"/>
      <rgbColor rgb="FF9999FF"/>
      <rgbColor rgb="FF7030A0"/>
      <rgbColor rgb="FFFFF2CC"/>
      <rgbColor rgb="FFD6E4F0"/>
      <rgbColor rgb="FF660066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ED7D31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RNR 재무팀</author>
    <author>RNR</author>
  </authors>
  <commentList>
    <comment ref="S5" authorId="0" shapeId="0">
      <text>
        <t>관세율 0% 적용 (DHL 특송/인천세관 직통관)
신고필증 미확보 - 면세 사유 확인 필요
(신고번호 883504210357, 수리일 2025-09-05)</t>
      </text>
    </comment>
    <comment ref="S7" authorId="0" shapeId="0">
      <text>
        <t>ITA(정보기술협정) 관세면제
HS 8543 : 디지털시네마 서버/IMB
(정보기술협정 양허품목)</t>
      </text>
    </comment>
    <comment ref="S11" authorId="0" shapeId="0">
      <text>
        <t>ITA(정보기술협정) 관세면제
HS 8518/8543 디지털시네마장비</t>
      </text>
    </comment>
    <comment ref="S13" authorId="0" shapeId="0">
      <text>
        <t>ITA(정보기술협정) 관세면제
HS 8543 : 디지털시네마 프로젝터
(정보기술협정 양허품목)</t>
      </text>
    </comment>
    <comment ref="S15" authorId="0" shapeId="0">
      <text>
        <t>ITA(정보기술협정) 관세면제
HS 8414.59 : Projector cooling fan
(WTO 협정세율 0%)</t>
      </text>
    </comment>
    <comment ref="S16" authorId="0" shapeId="0">
      <text>
        <t>ITA(정보기술협정) 관세면제
HS 8518/8543 디지털시네마장비</t>
      </text>
    </comment>
    <comment ref="S17" authorId="0" shapeId="0">
      <text>
        <t>ITA(정보기술협정) 관세면제
Fedex 직통관 (관세사 미경유)</t>
      </text>
    </comment>
    <comment ref="S19" authorId="0" shapeId="0">
      <text>
        <t>ITA(정보기술협정) 관세면제
HS 8543 : 디지털시네마 서버/IMB
(정보기술협정 양허품목)</t>
      </text>
    </comment>
    <comment ref="S22" authorId="0" shapeId="0">
      <text>
        <t>ITA(정보기술협정) 관세면제
HS 8518/8543 디지털시네마장비</t>
      </text>
    </comment>
    <comment ref="S24" authorId="0" shapeId="0">
      <text>
        <t>ITA(정보기술협정) 관세면제
Fedex 직통관 (관세사 미경유)</t>
      </text>
    </comment>
    <comment ref="S25" authorId="0" shapeId="0">
      <text>
        <t>ITA(정보기술협정) 관세면제
HS 8543 : 디지털시네마 서버/IMB
(정보기술협정 양허품목)</t>
      </text>
    </comment>
    <comment ref="S26" authorId="0" shapeId="0">
      <text>
        <t>ITA(정보기술협정) 관세면제
HS 8543 : 디지털시네마 서버/IMB
(정보기술협정 양허품목)</t>
      </text>
    </comment>
    <comment ref="S27" authorId="0" shapeId="0">
      <text>
        <t>ITA(정보기술협정) 관세면제
HS 8518/8543 디지털시네마장비</t>
      </text>
    </comment>
    <comment ref="Y29" authorId="0" shapeId="0">
      <text>
        <t>DHL 2026-05월 인보이스 (AWB 2538226250, 4/8 Christie HK 발송)
지출결의 2026-1344, 6/9 집행</t>
      </text>
    </comment>
    <comment ref="S32" authorId="0" shapeId="0">
      <text>
        <t>ITA(정보기술협정) 관세면제
HS 8543 : 디지털시네마 서버/IMB
(정보기술협정 양허품목)</t>
      </text>
    </comment>
    <comment ref="S33" authorId="0" shapeId="0">
      <text>
        <t>ITA(정보기술협정) 관세면제
HS 8543 : 디지털시네마 서버/IMB
(정보기술협정 양허품목)</t>
      </text>
    </comment>
    <comment ref="S34" authorId="0" shapeId="0">
      <text>
        <t>ITA(정보기술협정) 관세면제
HS 8543 : 디지털시네마 서버/IMB
(정보기술협정 양허품목)</t>
      </text>
    </comment>
    <comment ref="Y36" authorId="0" shapeId="0">
      <text>
        <t>FedEx 2026-06월 인보이스 48,920원 (AWB 577262341268, 2026-05-04 GDC HK 발송) 지출결의 2026-1597</t>
      </text>
    </comment>
    <comment ref="Q37" authorId="0" shapeId="0">
      <text>
        <t>신고환율 1,686.20 = 신고필증 14008-26-101205M 56번 (EUR 기준). USD 주간 고시환율 미적용 건이라 값으로 직접 기입</t>
      </text>
    </comment>
    <comment ref="S37" authorId="0" shapeId="0">
      <text>
        <t>관세 0원 : 한-EU FTA 협정세율(세율구분 FEU1 이가) 적용, HS 8414.59-9000 (신고필증 14008-26-101205M, 수리일 2026-07-27)</t>
      </text>
    </comment>
    <comment ref="K38" authorId="0" shapeId="0">
      <text>
        <t>분할송금 1차: USD 50,000 (2026-09-15, 적용환율 1,364.10) = 68,205,000원. Invoice USD 807,233 중 잔여 USD 757,233 미송금 (지급합의 일정: 2026-11-15 USD 250,000 / 2026-12-31 USD 507,233). 원화환산액은 송금 완료분만 반영, 잔여분 송금 시 가산</t>
      </text>
    </comment>
    <comment ref="S40" authorId="0" shapeId="0">
      <text>
        <t>관세 0원 : 수입신고필증 세율구분 'C'(WTO협정/양허세율) 적용
HS 8518 음향기기 (loudspeakers/amplifier)
원산지: 우크라이나(UA-A)</t>
      </text>
    </comment>
    <comment ref="S41" authorId="0" shapeId="0">
      <text>
        <t>관세 0원 : 수입신고필증 세율구분 'C'(WTO협정/양허세율) 적용
HS 8518 음향기기 (loudspeakers/amplifier)
원산지: 우크라이나(UA-A)</t>
      </text>
    </comment>
    <comment ref="K42" authorId="0" shapeId="0">
      <text>
        <t>분할송금 1차: USD 50,000 (2026-09-15, 적용환율 1,364.10) = 68,205,000원. Invoice USD 346,792 중 잔여 USD 296,792 미송금 (지급합의 일정: 2026-11-15 USD 100,000 / 2026-12-31 USD 196,792). 원화환산액은 송금 완료분만 반영, 잔여분 송금 시 가산</t>
      </text>
    </comment>
    <comment ref="S43" authorId="0" shapeId="0">
      <text>
        <t>관세 0원 : 수입신고필증 세율구분 'C'(가가, WTO/ITA 양허) 적용
HS 8529.90-6010 프로젝터 부품 (레이저광원모듈)
원산지: 중국(CN-A)
(신고번호 14008-26-101317M, 수리일 2026-06-29)</t>
      </text>
    </comment>
    <comment ref="S44" authorId="0" shapeId="0">
      <text>
        <t>ITA(정보기술협정) 관세면제 HS 8517.62-9020 / 8471.80-9000 : 시네마 오디오프로세서 및 HDMI 모듈 (신고필증 세율구분 C 가가)</t>
      </text>
    </comment>
    <comment ref="T44" authorId="0" shapeId="0">
      <text>
        <t>수입신고 23176-26-472403M 결제금액 USD 15,870 (인보이스 GDC-INV-2606-005 USD 14,730 + HDMI Module 3EA USD 1,140). 납부고지서(2026-07-10 재발행) 기준 가산세(보정이자) 79,130원 별도 부과, 취득원가 제외</t>
      </text>
    </comment>
    <comment ref="H45" authorId="0" shapeId="0">
      <text>
        <t>수입신고 23176-26-606930M 결제금액 USD 5,499 중 ASSY FAN 2EA 귀속분. 관세/부가세는 USD 비율 안분 (CPO701 54 : CPO703 5,445)</t>
      </text>
    </comment>
    <comment ref="H46" authorId="0" shapeId="0">
      <text>
        <t>수입신고 23176-26-606930M 결제금액 USD 5,499 중 Lens 1EA 귀속분. 관세/부가세는 USD 비율 안분 (CPO701 54 : CPO703 5,445)</t>
      </text>
    </comment>
    <comment ref="S47" authorId="1" shapeId="0">
      <text>
        <t>관세 0원: 세율구분 C(가가) 0% (HS 8518.22/8518.21/8518.40 음향기기 ITA, 수입신고필증 14008-26-101496M)</t>
      </text>
    </comment>
    <comment ref="K50" authorId="0" shapeId="0">
      <text>
        <t>선금 50%: USD 51,928.58 (2026-09-15, 적용환율 1,364.20) = 70,840,969원. PO 총액 USD 103,857.16 중 잔금 50% USD 51,928.58 선적 전 지급 예정 (EXW Shenzhen). 원화환산액은 송금 완료분만 반영, 잔금 송금 시 가산</t>
      </text>
    </comment>
    <comment ref="Y51" authorId="0" shapeId="0">
      <text>
        <t>FedEx 2026-05월 인보이스 159,250원 선반영
(AWB 870900398456, 4/21 INTEG 발송, 4/27 배달)
인보이스/송금/수입신고 미도래 - 미확정 건</t>
      </text>
    </comment>
    <comment ref="S53" authorId="0" shapeId="0">
      <text>
        <t>ITA(정보기술협정) 관세면제 HS 8529.90-6029 : 디지털시네마 서버 부품 (신고필증 세율구분 C 가가)</t>
      </text>
    </comment>
    <comment ref="H54" authorId="0" shapeId="0">
      <text>
        <t>수입신고 총 결제금액 USD 335,110 중 지출결의 2026-1667 물량내역 기준 GPO482 귀속분. 물량내역 미기재 2개 란(Advertising Board USD 200, Coaxial Cable USD 126)은 GPO482에 합산 (총액 일치 목적)</t>
      </text>
    </comment>
    <comment ref="S54" authorId="0" shapeId="0">
      <text>
        <t>관세 0원 : 신고필증 14008-26-101364M 세율구분 C(가가, WTO/ITA 양허) 및 FCN1(한중 FTA 협정세율) 적용</t>
      </text>
    </comment>
    <comment ref="S55" authorId="0" shapeId="0">
      <text>
        <t>관세 0원 : 신고필증 14008-26-101364M 세율구분 FCN1(한중 FTA 협정세율) 적용, HS 9004.90-2000</t>
      </text>
    </comment>
    <comment ref="S56" authorId="1" shapeId="0">
      <text>
        <t>관세 0원: 세율구분 C(가가) 0% (HS 8471.80-9000 ADP 기기 부품, 수입신고필증 23176-26-472403M 2란, GPO483과 합배송)</t>
      </text>
    </comment>
    <comment ref="H57" authorId="0" shapeId="0">
      <text>
        <t>수입신고필증 14008-26-101497M 결제금액 USD 450,950 기준 (LED 446,483 + Enterprise Storage 3,540 + Advertising Board 200 + Sync kit 558 + 케이블 169). 벤더 인보이스 미수취, 송금 미실행</t>
      </text>
    </comment>
    <comment ref="S57" authorId="0" shapeId="0">
      <text>
        <t>관세 0원: 신고필증 14008-26-101497M 세율구분 C(가가, WTO/ITA 양허) 0% 및 FCN1(한중 FTA 협정세율) 0% 적용 (HS 8524.99-4000 / 8471.70-2020 / 8310.00-0000 / 8517.62-9020 / 8544.42-2010)</t>
      </text>
    </comment>
    <comment ref="H81" authorId="1" shapeId="0">
      <text>
        <t>CPO700+CPO702 합송금 USD 33,829 (2026-08-07) 중 CPO702 인보이스 32,715 차감 잔여분 = USD 1,114.
Christie 인보이스 미수취. Christie AR 메일(2026-07-31, Eric Shim): CPO700/CPO702 모두 Extended Warranty 건.
인보이스 수취 시 품명/계약기간 보완 필요</t>
      </text>
    </comment>
    <comment ref="H86" authorId="0" shapeId="0">
      <text>
        <t>GDC-INV-2606-025 : gross USD 33,309 차감 구형서버 보상판매 Credit GDC-CN-2604-001 USD 28,000 = 실지급 USD 5,309</t>
      </text>
    </comment>
    <comment ref="AE90" authorId="0" shapeId="0">
      <text>
        <t>사이트별 연장 시작일 상이: 롯데 구미센트럴 2026-07-16, 금산시네마 2026-07-24, RNR 2026-07-28, CGV 대전가수원 2026-08-01. 종료일은 전건 2027-12-31</t>
      </text>
    </comment>
    <comment ref="AE93" authorId="0" shapeId="0">
      <text>
        <t>인보이스 GDC-INV-2609-001 기재 기간 2023-09-01 ~ 2026-08-31 그대로 반영 (인보이스일 2026-09-01, 과거 기간 소급 표기. GDC 확인 필요)</t>
      </text>
    </comment>
    <comment ref="Y96" authorId="0" shapeId="0">
      <text>
        <t>DHL 2026-05월 인보이스 (AWB 5094871784 = 수입신고필증 B/L 일치)
GDC RMA 수리반환 건, 지출결의 2026-1344, 6/9 집행</t>
      </text>
    </comment>
    <comment ref="Y97" authorId="0" shapeId="0">
      <text>
        <t>진로직스 운임 정정 추가정산금 230,890원 반영 (정정 전 4,827,602 → 정정 후 5,058,492, HFIKUO26401C, 입항지 부산 변경분) 지출결의 2026-1536</t>
      </text>
    </comment>
    <comment ref="H98" authorId="1" shapeId="0">
      <text>
        <t>Figueras PI 44133 (2026-05-05) 총 EUR 22,080 = RIVA 4031 리클라이너 16EA (Monoplex DH Bangbae).
지급: 20% EUR 4,416 (2026-05-12) + 60% EUR 13,248 (2026-07-14) = EUR 17,664 기지급.
잔금 20% EUR 4,416 미지급 (완공 또는 납품 후 30일 조건). J/K열은 기지급분 원화 합계.
H열은 EUR 금액 (USD 아님)</t>
      </text>
    </comment>
    <comment ref="S98" authorId="1" shapeId="0">
      <text>
        <t>관세 0원: 세율구분 C(가가) 0% (HS 9401.71-1000 영화관 좌석, 수입신고필증 14008-26-101459M, EUR 22,080 / 신고환율 1,634.42)</t>
      </text>
    </comment>
    <comment ref="S99" authorId="1" shapeId="0">
      <text>
        <t>관세 0원: 세율구분 C(가가) 0% / FCN1(한중 FTA) 0% (HS 8524.99/8529.90/8504.40/8517.62/8543.70, 수입신고필증 14008-26-101470M)</t>
      </text>
    </comment>
    <comment ref="S100" authorId="0" shapeId="0">
      <text>
        <t>관세율 0.00% - 세율구분 C(가가, WTO/ITA 양허)
수리반환 재수입 건, 부가세만 과세
(신고필증 2235626351613M)</t>
      </text>
    </comment>
  </commentList>
</comments>
</file>

<file path=xl/comments/comment2.xml><?xml version="1.0" encoding="utf-8"?>
<comments xmlns="http://schemas.openxmlformats.org/spreadsheetml/2006/main">
  <authors>
    <author>수입원가계산기</author>
  </authors>
  <commentList>
    <comment ref="D3" authorId="0" shapeId="0">
      <text>
        <t>출금내역만 확인. 송금확인서 미확인</t>
      </text>
    </comment>
    <comment ref="D4" authorId="0" shapeId="0">
      <text>
        <t>출금내역만 확인. 송금확인서 미확인</t>
      </text>
    </comment>
    <comment ref="D5" authorId="0" shapeId="0">
      <text>
        <t>출금내역만 확인. 송금확인서 미확인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nrfin.github.io/rnr-importcost/" TargetMode="Externa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https://unipass.customs.go.kr/clip/com/bsopcomn/baseinfo/otsd/COM0101049Q.do" TargetMode="External" Id="rId1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AF114"/>
  <sheetViews>
    <sheetView showGridLines="0" tabSelected="1" zoomScaleNormal="100" workbookViewId="0">
      <pane xSplit="2" ySplit="4" topLeftCell="N19" activePane="bottomRight" state="frozen"/>
      <selection pane="topRight" activeCell="J1" sqref="J1"/>
      <selection pane="bottomLeft" activeCell="A5" sqref="A5"/>
      <selection pane="bottomRight" activeCell="AF52" sqref="AF52"/>
    </sheetView>
  </sheetViews>
  <sheetFormatPr baseColWidth="10" defaultColWidth="8.6640625" defaultRowHeight="17"/>
  <cols>
    <col width="5" customWidth="1" style="234" min="1" max="1"/>
    <col width="12" customWidth="1" style="234" min="2" max="2"/>
    <col width="10.83203125" customWidth="1" style="234" min="3" max="3"/>
    <col width="12.6640625" customWidth="1" style="234" min="4" max="4"/>
    <col width="12" customWidth="1" style="234" min="5" max="5"/>
    <col width="13.33203125" customWidth="1" style="234" min="6" max="7"/>
    <col width="12" customWidth="1" style="234" min="8" max="8"/>
    <col width="10.6640625" customWidth="1" style="234" min="9" max="9"/>
    <col width="15.6640625" customWidth="1" style="234" min="10" max="13"/>
    <col width="36.83203125" customWidth="1" style="234" min="14" max="14"/>
    <col width="11.83203125" customWidth="1" style="234" min="15" max="15"/>
    <col width="16.83203125" customWidth="1" style="234" min="16" max="16"/>
    <col width="13.1640625" customWidth="1" style="234" min="17" max="23"/>
    <col width="12.5" bestFit="1" customWidth="1" style="51" min="24" max="24"/>
    <col width="15" customWidth="1" style="234" min="25" max="27"/>
    <col width="5.6640625" customWidth="1" style="51" min="28" max="28"/>
    <col width="15" customWidth="1" style="234" min="29" max="29"/>
    <col width="13.33203125" customWidth="1" style="234" min="30" max="32"/>
    <col width="8.6640625" customWidth="1" style="234" min="33" max="38"/>
    <col width="8.6640625" customWidth="1" style="234" min="39" max="16384"/>
  </cols>
  <sheetData>
    <row r="1" ht="24" customHeight="1">
      <c r="A1" s="238" t="inlineStr">
        <is>
          <t>RNR 2026년 PO별 수입원가 산출표 (Master)  📊 https://rnrfin.github.io/rnr-importcost/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39" t="n"/>
      <c r="L1" s="239" t="n"/>
      <c r="M1" s="239" t="n"/>
      <c r="N1" s="239" t="n"/>
      <c r="O1" s="239" t="n"/>
      <c r="P1" s="239" t="n"/>
      <c r="Q1" s="239" t="n"/>
      <c r="R1" s="239" t="n"/>
      <c r="S1" s="239" t="n"/>
      <c r="T1" s="239" t="n"/>
      <c r="U1" s="239" t="n"/>
      <c r="V1" s="239" t="n"/>
      <c r="W1" s="239" t="n"/>
      <c r="X1" s="239" t="n"/>
      <c r="Y1" s="239" t="n"/>
      <c r="Z1" s="239" t="n"/>
      <c r="AA1" s="239" t="n"/>
      <c r="AB1" s="239" t="n"/>
      <c r="AC1" s="239" t="n"/>
      <c r="AD1" s="239" t="n"/>
      <c r="AE1" s="239" t="n"/>
      <c r="AF1" s="240" t="n"/>
    </row>
    <row r="2" ht="15.75" customHeight="1">
      <c r="A2" s="241" t="inlineStr">
        <is>
          <t>회계처리용 통합 데이터  |  기준일: 2026-09-22  |  노란색=미확인  |  보라색=라이센스/워런티  |  날짜→해당항목 좌측 배치</t>
        </is>
      </c>
      <c r="B2" s="219" t="n"/>
      <c r="C2" s="219" t="n"/>
      <c r="D2" s="219" t="n"/>
      <c r="E2" s="219" t="n"/>
      <c r="F2" s="219" t="n"/>
      <c r="G2" s="219" t="n"/>
      <c r="H2" s="219" t="n"/>
      <c r="I2" s="219" t="n"/>
      <c r="J2" s="219" t="n"/>
      <c r="K2" s="219" t="n"/>
      <c r="L2" s="219" t="n"/>
      <c r="M2" s="219" t="n"/>
      <c r="N2" s="219" t="n"/>
      <c r="O2" s="219" t="n"/>
      <c r="P2" s="219" t="n"/>
      <c r="Q2" s="219" t="n"/>
      <c r="R2" s="219" t="n"/>
      <c r="S2" s="219" t="n"/>
      <c r="T2" s="219" t="n"/>
      <c r="U2" s="219" t="n"/>
      <c r="V2" s="219" t="n"/>
      <c r="W2" s="219" t="n"/>
      <c r="X2" s="219" t="n"/>
      <c r="Y2" s="219" t="n"/>
      <c r="Z2" s="219" t="n"/>
      <c r="AA2" s="219" t="n"/>
      <c r="AB2" s="219" t="n"/>
      <c r="AC2" s="219" t="n"/>
      <c r="AD2" s="219" t="n"/>
      <c r="AE2" s="219" t="n"/>
      <c r="AF2" s="220" t="n"/>
    </row>
    <row r="3" ht="18" customHeight="1">
      <c r="A3" s="242" t="inlineStr">
        <is>
          <t>① 기본정보</t>
        </is>
      </c>
      <c r="B3" s="219" t="n"/>
      <c r="C3" s="219" t="n"/>
      <c r="D3" s="219" t="n"/>
      <c r="E3" s="219" t="n"/>
      <c r="F3" s="220" t="n"/>
      <c r="G3" s="242" t="inlineStr">
        <is>
          <t>② 송금/장비대금</t>
        </is>
      </c>
      <c r="H3" s="219" t="n"/>
      <c r="I3" s="219" t="n"/>
      <c r="J3" s="219" t="n"/>
      <c r="K3" s="219" t="n"/>
      <c r="L3" s="219" t="n"/>
      <c r="M3" s="219" t="n"/>
      <c r="N3" s="220" t="n"/>
      <c r="O3" s="242" t="inlineStr">
        <is>
          <t>③ 수입신고</t>
        </is>
      </c>
      <c r="P3" s="219" t="n"/>
      <c r="Q3" s="219" t="n"/>
      <c r="R3" s="219" t="n"/>
      <c r="S3" s="219" t="n"/>
      <c r="T3" s="219" t="n"/>
      <c r="U3" s="219" t="n"/>
      <c r="V3" s="219" t="n"/>
      <c r="W3" s="220" t="n"/>
      <c r="X3" s="242" t="inlineStr">
        <is>
          <t>④ 통관/운송</t>
        </is>
      </c>
      <c r="Y3" s="219" t="n"/>
      <c r="Z3" s="220" t="n"/>
      <c r="AA3" s="243" t="inlineStr">
        <is>
          <t>⑤ 원가산출</t>
        </is>
      </c>
      <c r="AB3" s="219" t="n"/>
      <c r="AC3" s="220" t="n"/>
      <c r="AD3" s="242" t="inlineStr">
        <is>
          <t>⑥ 계약기간</t>
        </is>
      </c>
      <c r="AE3" s="219" t="n"/>
      <c r="AF3" s="220" t="n"/>
    </row>
    <row r="4" ht="27.75" customHeight="1">
      <c r="A4" s="1" t="inlineStr">
        <is>
          <t>No.</t>
        </is>
      </c>
      <c r="B4" s="1" t="inlineStr">
        <is>
          <t>PO No.</t>
        </is>
      </c>
      <c r="C4" s="1" t="inlineStr">
        <is>
          <t>업체</t>
        </is>
      </c>
      <c r="D4" s="1" t="inlineStr">
        <is>
          <t>지불조건</t>
        </is>
      </c>
      <c r="E4" s="1" t="inlineStr">
        <is>
          <t>구분</t>
        </is>
      </c>
      <c r="F4" s="1" t="inlineStr">
        <is>
          <t>PO일자</t>
        </is>
      </c>
      <c r="G4" s="1" t="inlineStr">
        <is>
          <t>송금일</t>
        </is>
      </c>
      <c r="H4" s="2" t="inlineStr">
        <is>
          <t>Invoice(USD)</t>
        </is>
      </c>
      <c r="I4" s="244" t="inlineStr">
        <is>
          <t>적용환율</t>
        </is>
      </c>
      <c r="J4" s="20" t="inlineStr">
        <is>
          <t>장비대금(KRW)</t>
        </is>
      </c>
      <c r="K4" s="20" t="inlineStr">
        <is>
          <t>원화환산액</t>
        </is>
      </c>
      <c r="L4" s="20" t="inlineStr">
        <is>
          <t>수수료(안분)</t>
        </is>
      </c>
      <c r="M4" s="20" t="inlineStr">
        <is>
          <t>전신료(안분)</t>
        </is>
      </c>
      <c r="N4" s="1" t="inlineStr">
        <is>
          <t>품명/수량</t>
        </is>
      </c>
      <c r="O4" s="1" t="inlineStr">
        <is>
          <t>수입신고일</t>
        </is>
      </c>
      <c r="P4" s="1" t="inlineStr">
        <is>
          <t>수입신고번호</t>
        </is>
      </c>
      <c r="Q4" s="1" t="inlineStr">
        <is>
          <t>신고환율</t>
        </is>
      </c>
      <c r="R4" s="1" t="inlineStr">
        <is>
          <t>과세가격(USD)</t>
        </is>
      </c>
      <c r="S4" s="20" t="inlineStr">
        <is>
          <t>관세(KRW)</t>
        </is>
      </c>
      <c r="T4" s="20" t="inlineStr">
        <is>
          <t>부가세(KRW,참고)</t>
        </is>
      </c>
      <c r="U4" s="1" t="inlineStr">
        <is>
          <t>세금계산서일</t>
        </is>
      </c>
      <c r="V4" s="1" t="inlineStr">
        <is>
          <t>관세사</t>
        </is>
      </c>
      <c r="W4" s="20" t="inlineStr">
        <is>
          <t>관세사비(KRW)</t>
        </is>
      </c>
      <c r="X4" s="1" t="inlineStr">
        <is>
          <t>운송사</t>
        </is>
      </c>
      <c r="Y4" s="20" t="inlineStr">
        <is>
          <t>수입운송료(KRW)</t>
        </is>
      </c>
      <c r="Z4" s="20" t="inlineStr">
        <is>
          <t>소계:관세+통관(KRW)</t>
        </is>
      </c>
      <c r="AA4" s="20" t="inlineStr">
        <is>
          <t>총 수입원가(KRW)</t>
        </is>
      </c>
      <c r="AB4" s="1" t="inlineStr">
        <is>
          <t>수량</t>
        </is>
      </c>
      <c r="AC4" s="20" t="inlineStr">
        <is>
          <t>개당 원가(KRW)</t>
        </is>
      </c>
      <c r="AD4" s="1" t="inlineStr">
        <is>
          <t>귀속월</t>
        </is>
      </c>
      <c r="AE4" s="1" t="inlineStr">
        <is>
          <t>계약시작일</t>
        </is>
      </c>
      <c r="AF4" s="1" t="inlineStr">
        <is>
          <t>계약종료일</t>
        </is>
      </c>
    </row>
    <row r="5" ht="15.75" customHeight="1">
      <c r="A5" s="152" t="n">
        <v>1</v>
      </c>
      <c r="B5" s="152" t="inlineStr">
        <is>
          <t>IPO016</t>
        </is>
      </c>
      <c r="C5" s="245" t="inlineStr">
        <is>
          <t>Integ Process Group</t>
        </is>
      </c>
      <c r="D5" s="152" t="inlineStr">
        <is>
          <t>50% TT advance, 50% Net 30</t>
        </is>
      </c>
      <c r="E5" s="245" t="inlineStr">
        <is>
          <t>부품</t>
        </is>
      </c>
      <c r="F5" s="246" t="n">
        <v>45881</v>
      </c>
      <c r="G5" s="247" t="n">
        <v>46146</v>
      </c>
      <c r="H5" s="151" t="n">
        <v>6800</v>
      </c>
      <c r="I5" s="248" t="n">
        <v>1475.2</v>
      </c>
      <c r="J5" s="159" t="n">
        <v>10031360</v>
      </c>
      <c r="K5" s="159" t="n">
        <v>10031360</v>
      </c>
      <c r="L5" s="159" t="n">
        <v>10000</v>
      </c>
      <c r="M5" s="159" t="n">
        <v>8000</v>
      </c>
      <c r="N5" s="152" t="inlineStr">
        <is>
          <t>JNIOR Model 410 (20EA)</t>
        </is>
      </c>
      <c r="O5" s="247" t="n">
        <v>45905</v>
      </c>
      <c r="P5" s="152" t="inlineStr">
        <is>
          <t>883504210357</t>
        </is>
      </c>
      <c r="Q5" s="249">
        <f>IF(P5="","",IFERROR(VLOOKUP(O5,FxRateTable,4,TRUE),""))</f>
        <v/>
      </c>
      <c r="R5" s="151">
        <f>IF(P5="","",H5)</f>
        <v/>
      </c>
      <c r="S5" s="159" t="n">
        <v>0</v>
      </c>
      <c r="T5" s="159" t="n">
        <v>954760</v>
      </c>
      <c r="U5" s="246" t="n">
        <v>45905</v>
      </c>
      <c r="V5" s="152" t="inlineStr">
        <is>
          <t>인천세관</t>
        </is>
      </c>
      <c r="W5" s="159" t="n">
        <v>0</v>
      </c>
      <c r="X5" s="245" t="inlineStr">
        <is>
          <t>DHL</t>
        </is>
      </c>
      <c r="Y5" s="159" t="n">
        <v>0</v>
      </c>
      <c r="Z5" s="159">
        <f>S5+W5</f>
        <v/>
      </c>
      <c r="AA5" s="250">
        <f>K5+L5+M5+IFERROR(VLOOKUP(B5,RemitTable2,9,FALSE),0)+Y5+Z5</f>
        <v/>
      </c>
      <c r="AB5" s="251" t="n">
        <v>20</v>
      </c>
      <c r="AC5" s="250">
        <f>ROUND(AA5/AB5,0)</f>
        <v/>
      </c>
      <c r="AD5" s="152" t="inlineStr">
        <is>
          <t>2026-05</t>
        </is>
      </c>
      <c r="AE5" s="247" t="inlineStr">
        <is>
          <t>-</t>
        </is>
      </c>
      <c r="AF5" s="246" t="inlineStr">
        <is>
          <t>-</t>
        </is>
      </c>
    </row>
    <row r="6" ht="15.75" customHeight="1">
      <c r="A6" s="152" t="n">
        <v>2</v>
      </c>
      <c r="B6" s="152" t="inlineStr">
        <is>
          <t>CPO678-1</t>
        </is>
      </c>
      <c r="C6" s="245" t="inlineStr">
        <is>
          <t>Christie</t>
        </is>
      </c>
      <c r="D6" s="152" t="inlineStr">
        <is>
          <t>Net 45 days</t>
        </is>
      </c>
      <c r="E6" s="245" t="inlineStr">
        <is>
          <t>장비</t>
        </is>
      </c>
      <c r="F6" s="246" t="n">
        <v>45965</v>
      </c>
      <c r="G6" s="247" t="n">
        <v>46007</v>
      </c>
      <c r="H6" s="151" t="n">
        <v>139083</v>
      </c>
      <c r="I6" s="248" t="n">
        <v>1479.7</v>
      </c>
      <c r="J6" s="159" t="n">
        <v>205801115</v>
      </c>
      <c r="K6" s="159" t="n">
        <v>205801115</v>
      </c>
      <c r="L6" s="159" t="n">
        <v>12110</v>
      </c>
      <c r="M6" s="159" t="n">
        <v>7751</v>
      </c>
      <c r="N6" s="152" t="inlineStr">
        <is>
          <t>Projector</t>
        </is>
      </c>
      <c r="O6" s="247" t="n">
        <v>46002</v>
      </c>
      <c r="P6" s="152" t="inlineStr">
        <is>
          <t>1219925801471M</t>
        </is>
      </c>
      <c r="Q6" s="249">
        <f>IF(P6="","",IFERROR(VLOOKUP(O6,FxRateTable,4,TRUE),""))</f>
        <v/>
      </c>
      <c r="R6" s="151">
        <f>IF(P6="","",H6)</f>
        <v/>
      </c>
      <c r="S6" s="159" t="n">
        <v>1682291</v>
      </c>
      <c r="T6" s="159" t="n">
        <v>20784342</v>
      </c>
      <c r="U6" s="246" t="n">
        <v>46017</v>
      </c>
      <c r="V6" s="152" t="inlineStr">
        <is>
          <t>다민관세사</t>
        </is>
      </c>
      <c r="W6" s="159" t="n">
        <v>149729</v>
      </c>
      <c r="X6" s="245" t="inlineStr">
        <is>
          <t>진로직스</t>
        </is>
      </c>
      <c r="Y6" s="159" t="n">
        <v>2470670</v>
      </c>
      <c r="Z6" s="159">
        <f>S6+W6</f>
        <v/>
      </c>
      <c r="AA6" s="252">
        <f>K6+L6+M6+IFERROR(VLOOKUP(B6,RemitTable2,9,FALSE),0)+Y6+Z6</f>
        <v/>
      </c>
      <c r="AB6" s="251" t="n">
        <v>1</v>
      </c>
      <c r="AC6" s="252">
        <f>ROUND(AA6/AB6,0)</f>
        <v/>
      </c>
      <c r="AD6" s="152" t="inlineStr">
        <is>
          <t>2025-12</t>
        </is>
      </c>
      <c r="AE6" s="247" t="inlineStr">
        <is>
          <t>-</t>
        </is>
      </c>
      <c r="AF6" s="246" t="inlineStr">
        <is>
          <t>-</t>
        </is>
      </c>
    </row>
    <row r="7" ht="15.75" customHeight="1">
      <c r="A7" s="152" t="n">
        <v>3</v>
      </c>
      <c r="B7" s="152" t="inlineStr">
        <is>
          <t>GPO451</t>
        </is>
      </c>
      <c r="C7" s="245" t="inlineStr">
        <is>
          <t>GDC</t>
        </is>
      </c>
      <c r="D7" s="152" t="inlineStr">
        <is>
          <t>Net 30 days</t>
        </is>
      </c>
      <c r="E7" s="245" t="inlineStr">
        <is>
          <t>장비</t>
        </is>
      </c>
      <c r="F7" s="246" t="n">
        <v>45982</v>
      </c>
      <c r="G7" s="247" t="n">
        <v>46020</v>
      </c>
      <c r="H7" s="151" t="n">
        <v>9060</v>
      </c>
      <c r="I7" s="248" t="n">
        <v>1439.1</v>
      </c>
      <c r="J7" s="159" t="n">
        <v>13038246</v>
      </c>
      <c r="K7" s="159" t="n">
        <v>13038246</v>
      </c>
      <c r="L7" s="159" t="n">
        <v>6537</v>
      </c>
      <c r="M7" s="159" t="n">
        <v>5229</v>
      </c>
      <c r="N7" s="152" t="inlineStr">
        <is>
          <t>IMB/Server</t>
        </is>
      </c>
      <c r="O7" s="247" t="n">
        <v>45996</v>
      </c>
      <c r="P7" s="152" t="inlineStr">
        <is>
          <t>2317625939353M</t>
        </is>
      </c>
      <c r="Q7" s="249">
        <f>IF(P7="","",IFERROR(VLOOKUP(O7,FxRateTable,4,TRUE),""))</f>
        <v/>
      </c>
      <c r="R7" s="151">
        <f>IF(P7="","",H7)</f>
        <v/>
      </c>
      <c r="S7" s="159" t="n">
        <v>0</v>
      </c>
      <c r="T7" s="159" t="n">
        <v>1352610</v>
      </c>
      <c r="U7" s="246" t="n">
        <v>46011</v>
      </c>
      <c r="V7" s="152" t="inlineStr">
        <is>
          <t>-</t>
        </is>
      </c>
      <c r="W7" s="159" t="n">
        <v>0</v>
      </c>
      <c r="X7" s="245" t="inlineStr">
        <is>
          <t>Fedex</t>
        </is>
      </c>
      <c r="Y7" s="159" t="n">
        <v>0</v>
      </c>
      <c r="Z7" s="159">
        <f>S7+W7</f>
        <v/>
      </c>
      <c r="AA7" s="252">
        <f>K7+L7+M7+IFERROR(VLOOKUP(B7,RemitTable2,9,FALSE),0)+Y7+Z7</f>
        <v/>
      </c>
      <c r="AB7" s="251" t="n">
        <v>1</v>
      </c>
      <c r="AC7" s="252">
        <f>ROUND(AA7/AB7,0)</f>
        <v/>
      </c>
      <c r="AD7" s="152" t="inlineStr">
        <is>
          <t>2025-12</t>
        </is>
      </c>
      <c r="AE7" s="247" t="inlineStr">
        <is>
          <t>-</t>
        </is>
      </c>
      <c r="AF7" s="246" t="inlineStr">
        <is>
          <t>-</t>
        </is>
      </c>
    </row>
    <row r="8" ht="15.75" customHeight="1">
      <c r="A8" s="152" t="n">
        <v>4</v>
      </c>
      <c r="B8" s="152" t="inlineStr">
        <is>
          <t>CPO679</t>
        </is>
      </c>
      <c r="C8" s="245" t="inlineStr">
        <is>
          <t>Christie</t>
        </is>
      </c>
      <c r="D8" s="152" t="inlineStr">
        <is>
          <t>Net 45 days</t>
        </is>
      </c>
      <c r="E8" s="245" t="inlineStr">
        <is>
          <t>부품</t>
        </is>
      </c>
      <c r="F8" s="246" t="n">
        <v>45987</v>
      </c>
      <c r="G8" s="247" t="n">
        <v>46007</v>
      </c>
      <c r="H8" s="151" t="n">
        <v>4474</v>
      </c>
      <c r="I8" s="248" t="n">
        <v>1479.7</v>
      </c>
      <c r="J8" s="159" t="n">
        <v>6620178</v>
      </c>
      <c r="K8" s="159" t="n">
        <v>6620178</v>
      </c>
      <c r="L8" s="159" t="n">
        <v>390</v>
      </c>
      <c r="M8" s="159" t="n">
        <v>249</v>
      </c>
      <c r="N8" s="152" t="inlineStr">
        <is>
          <t>Lens</t>
        </is>
      </c>
      <c r="O8" s="247" t="n">
        <v>45989</v>
      </c>
      <c r="P8" s="152" t="inlineStr">
        <is>
          <t>1421425100697M</t>
        </is>
      </c>
      <c r="Q8" s="249">
        <f>IF(P8="","",IFERROR(VLOOKUP(O8,FxRateTable,4,TRUE),""))</f>
        <v/>
      </c>
      <c r="R8" s="151">
        <f>IF(P8="","",H8)</f>
        <v/>
      </c>
      <c r="S8" s="159" t="n">
        <v>560630</v>
      </c>
      <c r="T8" s="159" t="n">
        <v>756850</v>
      </c>
      <c r="U8" s="246" t="n">
        <v>46004</v>
      </c>
      <c r="V8" s="152" t="inlineStr">
        <is>
          <t>아인관세사</t>
        </is>
      </c>
      <c r="W8" s="159" t="n">
        <v>36000</v>
      </c>
      <c r="X8" s="245" t="inlineStr">
        <is>
          <t>진로직스</t>
        </is>
      </c>
      <c r="Y8" s="159" t="n">
        <v>590823</v>
      </c>
      <c r="Z8" s="159">
        <f>S8+W8</f>
        <v/>
      </c>
      <c r="AA8" s="252">
        <f>K8+L8+M8+IFERROR(VLOOKUP(B8,RemitTable2,9,FALSE),0)+Y8+Z8</f>
        <v/>
      </c>
      <c r="AB8" s="251" t="n">
        <v>1</v>
      </c>
      <c r="AC8" s="252">
        <f>ROUND(AA8/AB8,0)</f>
        <v/>
      </c>
      <c r="AD8" s="152" t="inlineStr">
        <is>
          <t>2025-11</t>
        </is>
      </c>
      <c r="AE8" s="247" t="inlineStr">
        <is>
          <t>-</t>
        </is>
      </c>
      <c r="AF8" s="246" t="inlineStr">
        <is>
          <t>-</t>
        </is>
      </c>
    </row>
    <row r="9" ht="15.75" customHeight="1">
      <c r="A9" s="253" t="n">
        <v>5</v>
      </c>
      <c r="B9" s="253" t="inlineStr">
        <is>
          <t>CPO684</t>
        </is>
      </c>
      <c r="C9" s="254" t="inlineStr">
        <is>
          <t>Christie</t>
        </is>
      </c>
      <c r="D9" s="253" t="inlineStr">
        <is>
          <t>Net 45 days</t>
        </is>
      </c>
      <c r="E9" s="254" t="inlineStr">
        <is>
          <t>부품</t>
        </is>
      </c>
      <c r="F9" s="255" t="n">
        <v>45993</v>
      </c>
      <c r="G9" s="256" t="inlineStr">
        <is>
          <t>-</t>
        </is>
      </c>
      <c r="H9" s="257" t="n">
        <v>362.25</v>
      </c>
      <c r="I9" s="258">
        <f>IFERROR(VLOOKUP(B9,RemitTable2,7,FALSE),0)</f>
        <v/>
      </c>
      <c r="J9" s="259" t="n">
        <v>0</v>
      </c>
      <c r="K9" s="259">
        <f>IFERROR(ROUND(H9*I9,0),0)</f>
        <v/>
      </c>
      <c r="L9" s="259">
        <f>IFERROR(VLOOKUP(B9,RemitTable2,10,FALSE),0)</f>
        <v/>
      </c>
      <c r="M9" s="259">
        <f>IFERROR(VLOOKUP(B9,RemitTable2,11,FALSE),0)</f>
        <v/>
      </c>
      <c r="N9" s="253" t="inlineStr">
        <is>
          <t>Parts (국내)</t>
        </is>
      </c>
      <c r="O9" s="256" t="n"/>
      <c r="P9" s="253" t="n"/>
      <c r="Q9" s="260">
        <f>IF(P9="","",IFERROR(VLOOKUP(O9,FxRateTable,4,TRUE),""))</f>
        <v/>
      </c>
      <c r="R9" s="257">
        <f>IF(P9="","",H9)</f>
        <v/>
      </c>
      <c r="S9" s="259" t="n">
        <v>0</v>
      </c>
      <c r="T9" s="259" t="n">
        <v>0</v>
      </c>
      <c r="U9" s="255" t="n"/>
      <c r="V9" s="253" t="inlineStr">
        <is>
          <t>-</t>
        </is>
      </c>
      <c r="W9" s="259" t="n">
        <v>0</v>
      </c>
      <c r="X9" s="254" t="inlineStr">
        <is>
          <t>-</t>
        </is>
      </c>
      <c r="Y9" s="259" t="n">
        <v>0</v>
      </c>
      <c r="Z9" s="259">
        <f>S9+W9</f>
        <v/>
      </c>
      <c r="AA9" s="261">
        <f>K9+L9+M9+IFERROR(VLOOKUP(B9,RemitTable2,9,FALSE),0)+Y9+Z9</f>
        <v/>
      </c>
      <c r="AB9" s="262" t="n">
        <v>1</v>
      </c>
      <c r="AC9" s="261">
        <f>ROUND(AA9/AB9,0)</f>
        <v/>
      </c>
      <c r="AD9" s="253" t="n"/>
      <c r="AE9" s="256" t="inlineStr">
        <is>
          <t>-</t>
        </is>
      </c>
      <c r="AF9" s="255" t="inlineStr">
        <is>
          <t>-</t>
        </is>
      </c>
    </row>
    <row r="10" ht="15.75" customHeight="1">
      <c r="A10" s="152" t="n">
        <v>6</v>
      </c>
      <c r="B10" s="152" t="inlineStr">
        <is>
          <t>CPO680</t>
        </is>
      </c>
      <c r="C10" s="245" t="inlineStr">
        <is>
          <t>Christie</t>
        </is>
      </c>
      <c r="D10" s="152" t="inlineStr">
        <is>
          <t>Net 45 days</t>
        </is>
      </c>
      <c r="E10" s="245" t="inlineStr">
        <is>
          <t>부품</t>
        </is>
      </c>
      <c r="F10" s="246" t="n">
        <v>45995</v>
      </c>
      <c r="G10" s="247" t="n">
        <v>46035</v>
      </c>
      <c r="H10" s="151" t="n">
        <v>252</v>
      </c>
      <c r="I10" s="248" t="n">
        <v>1479</v>
      </c>
      <c r="J10" s="159" t="n">
        <v>372708</v>
      </c>
      <c r="K10" s="159" t="n">
        <v>372708</v>
      </c>
      <c r="L10" s="159" t="n">
        <v>2500</v>
      </c>
      <c r="M10" s="159" t="n">
        <v>8000</v>
      </c>
      <c r="N10" s="152" t="inlineStr">
        <is>
          <t>Parts</t>
        </is>
      </c>
      <c r="O10" s="247" t="n">
        <v>46002</v>
      </c>
      <c r="P10" s="152" t="inlineStr">
        <is>
          <t>1219925801471M</t>
        </is>
      </c>
      <c r="Q10" s="249">
        <f>IF(P10="","",IFERROR(VLOOKUP(O10,FxRateTable,4,TRUE),""))</f>
        <v/>
      </c>
      <c r="R10" s="151">
        <f>IF(P10="","",H10)</f>
        <v/>
      </c>
      <c r="S10" s="159" t="n">
        <v>29879</v>
      </c>
      <c r="T10" s="159" t="n">
        <v>37658</v>
      </c>
      <c r="U10" s="246" t="n">
        <v>46017</v>
      </c>
      <c r="V10" s="152" t="inlineStr">
        <is>
          <t>다민관세사</t>
        </is>
      </c>
      <c r="W10" s="159" t="n">
        <v>271</v>
      </c>
      <c r="X10" s="245" t="inlineStr">
        <is>
          <t>진로직스</t>
        </is>
      </c>
      <c r="Y10" s="159" t="n">
        <v>4477</v>
      </c>
      <c r="Z10" s="159">
        <f>S10+W10</f>
        <v/>
      </c>
      <c r="AA10" s="252">
        <f>K10+L10+M10+IFERROR(VLOOKUP(B10,RemitTable2,9,FALSE),0)+Y10+Z10</f>
        <v/>
      </c>
      <c r="AB10" s="251" t="n">
        <v>1</v>
      </c>
      <c r="AC10" s="252">
        <f>ROUND(AA10/AB10,0)</f>
        <v/>
      </c>
      <c r="AD10" s="152" t="inlineStr">
        <is>
          <t>2025-12</t>
        </is>
      </c>
      <c r="AE10" s="247" t="inlineStr">
        <is>
          <t>-</t>
        </is>
      </c>
      <c r="AF10" s="246" t="inlineStr">
        <is>
          <t>-</t>
        </is>
      </c>
    </row>
    <row r="11" ht="15.75" customHeight="1">
      <c r="A11" s="152" t="n">
        <v>7</v>
      </c>
      <c r="B11" s="152" t="inlineStr">
        <is>
          <t>GPO460</t>
        </is>
      </c>
      <c r="C11" s="245" t="inlineStr">
        <is>
          <t>GDC</t>
        </is>
      </c>
      <c r="D11" s="152" t="inlineStr">
        <is>
          <t>Net 30 days</t>
        </is>
      </c>
      <c r="E11" s="245" t="inlineStr">
        <is>
          <t>장비</t>
        </is>
      </c>
      <c r="F11" s="246" t="n">
        <v>46007</v>
      </c>
      <c r="G11" s="247" t="n">
        <v>46043</v>
      </c>
      <c r="H11" s="151" t="n">
        <v>2710</v>
      </c>
      <c r="I11" s="248" t="n">
        <v>1475.7</v>
      </c>
      <c r="J11" s="159" t="n">
        <v>3999147</v>
      </c>
      <c r="K11" s="159" t="n">
        <v>3999147</v>
      </c>
      <c r="L11" s="159" t="n">
        <v>5493</v>
      </c>
      <c r="M11" s="159" t="n">
        <v>5859</v>
      </c>
      <c r="N11" s="152" t="inlineStr">
        <is>
          <t>SR-1000</t>
        </is>
      </c>
      <c r="O11" s="247" t="n">
        <v>46023</v>
      </c>
      <c r="P11" s="152" t="inlineStr">
        <is>
          <t>2317626006259M</t>
        </is>
      </c>
      <c r="Q11" s="249">
        <f>IF(P11="","",IFERROR(VLOOKUP(O11,FxRateTable,4,TRUE),""))</f>
        <v/>
      </c>
      <c r="R11" s="151">
        <f>IF(P11="","",H11)</f>
        <v/>
      </c>
      <c r="S11" s="159" t="n">
        <v>0</v>
      </c>
      <c r="T11" s="159" t="n">
        <v>399770</v>
      </c>
      <c r="U11" s="246" t="n">
        <v>46038</v>
      </c>
      <c r="V11" s="152" t="inlineStr">
        <is>
          <t>-</t>
        </is>
      </c>
      <c r="W11" s="159" t="n">
        <v>0</v>
      </c>
      <c r="X11" s="245" t="inlineStr">
        <is>
          <t>Fedex</t>
        </is>
      </c>
      <c r="Y11" s="159" t="n">
        <v>0</v>
      </c>
      <c r="Z11" s="159">
        <f>S11+W11</f>
        <v/>
      </c>
      <c r="AA11" s="252">
        <f>K11+L11+M11+IFERROR(VLOOKUP(B11,RemitTable2,9,FALSE),0)+Y11+Z11</f>
        <v/>
      </c>
      <c r="AB11" s="251" t="n">
        <v>1</v>
      </c>
      <c r="AC11" s="252">
        <f>ROUND(AA11/AB11,0)</f>
        <v/>
      </c>
      <c r="AD11" s="152" t="inlineStr">
        <is>
          <t>2026-01</t>
        </is>
      </c>
      <c r="AE11" s="247" t="inlineStr">
        <is>
          <t>-</t>
        </is>
      </c>
      <c r="AF11" s="246" t="inlineStr">
        <is>
          <t>-</t>
        </is>
      </c>
    </row>
    <row r="12" ht="15.75" customHeight="1">
      <c r="A12" s="152" t="n">
        <v>8</v>
      </c>
      <c r="B12" s="152" t="inlineStr">
        <is>
          <t>LPO001</t>
        </is>
      </c>
      <c r="C12" s="245" t="inlineStr">
        <is>
          <t>Lemon</t>
        </is>
      </c>
      <c r="D12" s="152" t="inlineStr">
        <is>
          <t>TT Advance</t>
        </is>
      </c>
      <c r="E12" s="245" t="inlineStr">
        <is>
          <t>장비</t>
        </is>
      </c>
      <c r="F12" s="246" t="n">
        <v>46007</v>
      </c>
      <c r="G12" s="247" t="n">
        <v>46052</v>
      </c>
      <c r="H12" s="151" t="n">
        <v>5056.8</v>
      </c>
      <c r="I12" s="248" t="n">
        <v>1445.5</v>
      </c>
      <c r="J12" s="159" t="n">
        <v>7309604</v>
      </c>
      <c r="K12" s="159" t="n">
        <v>7309604</v>
      </c>
      <c r="L12" s="159" t="n">
        <v>10000</v>
      </c>
      <c r="M12" s="159" t="n">
        <v>8000</v>
      </c>
      <c r="N12" s="152" t="inlineStr">
        <is>
          <t>ICP+TPC (6EA)</t>
        </is>
      </c>
      <c r="O12" s="247" t="n">
        <v>46090</v>
      </c>
      <c r="P12" s="152" t="inlineStr">
        <is>
          <t>1421426100183M</t>
        </is>
      </c>
      <c r="Q12" s="249">
        <f>IF(P12="","",IFERROR(VLOOKUP(O12,FxRateTable,4,TRUE),""))</f>
        <v/>
      </c>
      <c r="R12" s="151">
        <f>IF(P12="","",H12)</f>
        <v/>
      </c>
      <c r="S12" s="159" t="n">
        <v>240450</v>
      </c>
      <c r="T12" s="159" t="n">
        <v>831820</v>
      </c>
      <c r="U12" s="246" t="n">
        <v>46105</v>
      </c>
      <c r="V12" s="152" t="inlineStr">
        <is>
          <t>아인관세사</t>
        </is>
      </c>
      <c r="W12" s="159" t="n">
        <v>36000</v>
      </c>
      <c r="X12" s="245" t="inlineStr">
        <is>
          <t>진로직스</t>
        </is>
      </c>
      <c r="Y12" s="159" t="n">
        <v>581438</v>
      </c>
      <c r="Z12" s="159">
        <f>S12+W12</f>
        <v/>
      </c>
      <c r="AA12" s="252">
        <f>K12+L12+M12+IFERROR(VLOOKUP(B12,RemitTable2,9,FALSE),0)+Y12+Z12</f>
        <v/>
      </c>
      <c r="AB12" s="251" t="n">
        <v>6</v>
      </c>
      <c r="AC12" s="252">
        <f>ROUND(AA12/AB12,0)</f>
        <v/>
      </c>
      <c r="AD12" s="152" t="inlineStr">
        <is>
          <t>2026-03</t>
        </is>
      </c>
      <c r="AE12" s="247" t="inlineStr">
        <is>
          <t>-</t>
        </is>
      </c>
      <c r="AF12" s="246" t="inlineStr">
        <is>
          <t>-</t>
        </is>
      </c>
    </row>
    <row r="13" ht="15.75" customHeight="1">
      <c r="A13" s="152" t="n">
        <v>9</v>
      </c>
      <c r="B13" s="152" t="inlineStr">
        <is>
          <t>CPO678-2</t>
        </is>
      </c>
      <c r="C13" s="245" t="inlineStr">
        <is>
          <t>Christie</t>
        </is>
      </c>
      <c r="D13" s="152" t="inlineStr">
        <is>
          <t>Net 45 days</t>
        </is>
      </c>
      <c r="E13" s="245" t="inlineStr">
        <is>
          <t>장비</t>
        </is>
      </c>
      <c r="F13" s="246" t="n">
        <v>46009</v>
      </c>
      <c r="G13" s="247" t="n">
        <v>46087</v>
      </c>
      <c r="H13" s="151" t="n">
        <v>137850</v>
      </c>
      <c r="I13" s="248" t="n">
        <v>1477.6</v>
      </c>
      <c r="J13" s="159" t="n">
        <v>203687160</v>
      </c>
      <c r="K13" s="159" t="n">
        <v>203687160</v>
      </c>
      <c r="L13" s="159" t="n">
        <v>12500</v>
      </c>
      <c r="M13" s="159" t="n">
        <v>8000</v>
      </c>
      <c r="N13" s="152" t="inlineStr">
        <is>
          <t>CP4425-RGB Projector (3EA)</t>
        </is>
      </c>
      <c r="O13" s="247" t="n">
        <v>46030</v>
      </c>
      <c r="P13" s="152" t="inlineStr">
        <is>
          <t>1400826101004M</t>
        </is>
      </c>
      <c r="Q13" s="249">
        <f>IF(P13="","",IFERROR(VLOOKUP(O13,FxRateTable,4,TRUE),""))</f>
        <v/>
      </c>
      <c r="R13" s="151">
        <f>IF(P13="","",H13)</f>
        <v/>
      </c>
      <c r="S13" s="159" t="n">
        <v>0</v>
      </c>
      <c r="T13" s="159" t="n">
        <v>19976300</v>
      </c>
      <c r="U13" s="246" t="n">
        <v>46042</v>
      </c>
      <c r="V13" s="152" t="inlineStr">
        <is>
          <t>조운관세사</t>
        </is>
      </c>
      <c r="W13" s="159" t="n">
        <v>263400</v>
      </c>
      <c r="X13" s="245" t="inlineStr">
        <is>
          <t>진로직스</t>
        </is>
      </c>
      <c r="Y13" s="159" t="n">
        <v>2385057</v>
      </c>
      <c r="Z13" s="159">
        <f>S13+W13</f>
        <v/>
      </c>
      <c r="AA13" s="252">
        <f>K13+L13+M13+IFERROR(VLOOKUP(B13,RemitTable2,9,FALSE),0)+Y13+Z13</f>
        <v/>
      </c>
      <c r="AB13" s="251" t="n">
        <v>3</v>
      </c>
      <c r="AC13" s="252">
        <f>ROUND(AA13/AB13,0)</f>
        <v/>
      </c>
      <c r="AD13" s="152" t="inlineStr">
        <is>
          <t>2026-01</t>
        </is>
      </c>
      <c r="AE13" s="247" t="inlineStr">
        <is>
          <t>-</t>
        </is>
      </c>
      <c r="AF13" s="246" t="inlineStr">
        <is>
          <t>-</t>
        </is>
      </c>
    </row>
    <row r="14" ht="15.75" customHeight="1">
      <c r="A14" s="152" t="n">
        <v>10</v>
      </c>
      <c r="B14" s="152" t="inlineStr">
        <is>
          <t>CPO682</t>
        </is>
      </c>
      <c r="C14" s="245" t="inlineStr">
        <is>
          <t>Christie</t>
        </is>
      </c>
      <c r="D14" s="152" t="inlineStr">
        <is>
          <t>Net 45 days</t>
        </is>
      </c>
      <c r="E14" s="245" t="inlineStr">
        <is>
          <t>장비</t>
        </is>
      </c>
      <c r="F14" s="246" t="n">
        <v>46010</v>
      </c>
      <c r="G14" s="247" t="n">
        <v>46057</v>
      </c>
      <c r="H14" s="151" t="n">
        <v>20174</v>
      </c>
      <c r="I14" s="248" t="n">
        <v>1454.7</v>
      </c>
      <c r="J14" s="159" t="n">
        <v>29347118</v>
      </c>
      <c r="K14" s="159" t="n">
        <v>29347118</v>
      </c>
      <c r="L14" s="159" t="n">
        <v>10171</v>
      </c>
      <c r="M14" s="159" t="n">
        <v>6509</v>
      </c>
      <c r="N14" s="152" t="inlineStr">
        <is>
          <t>Projector + Touch Screen (2EA)</t>
        </is>
      </c>
      <c r="O14" s="247" t="n">
        <v>46015</v>
      </c>
      <c r="P14" s="152" t="inlineStr">
        <is>
          <t>1400825101450M</t>
        </is>
      </c>
      <c r="Q14" s="249">
        <f>IF(P14="","",IFERROR(VLOOKUP(O14,FxRateTable,4,TRUE),""))</f>
        <v/>
      </c>
      <c r="R14" s="151">
        <f>IF(P14="","",H14)</f>
        <v/>
      </c>
      <c r="S14" s="159" t="n">
        <v>84170</v>
      </c>
      <c r="T14" s="159" t="n">
        <v>3156262</v>
      </c>
      <c r="U14" s="246" t="n">
        <v>46030</v>
      </c>
      <c r="V14" s="152" t="inlineStr">
        <is>
          <t>아인관세사</t>
        </is>
      </c>
      <c r="W14" s="159" t="n">
        <v>92978</v>
      </c>
      <c r="X14" s="245" t="inlineStr">
        <is>
          <t>진로직스</t>
        </is>
      </c>
      <c r="Y14" s="159" t="n">
        <v>1864148</v>
      </c>
      <c r="Z14" s="159">
        <f>S14+W14</f>
        <v/>
      </c>
      <c r="AA14" s="252">
        <f>K14+L14+M14+IFERROR(VLOOKUP(B14,RemitTable2,9,FALSE),0)+Y14+Z14</f>
        <v/>
      </c>
      <c r="AB14" s="251" t="n">
        <v>1</v>
      </c>
      <c r="AC14" s="252">
        <f>ROUND(AA14/AB14,0)</f>
        <v/>
      </c>
      <c r="AD14" s="152" t="inlineStr">
        <is>
          <t>2025-12</t>
        </is>
      </c>
      <c r="AE14" s="247" t="inlineStr">
        <is>
          <t>-</t>
        </is>
      </c>
      <c r="AF14" s="246" t="inlineStr">
        <is>
          <t>-</t>
        </is>
      </c>
    </row>
    <row r="15" ht="15.75" customHeight="1">
      <c r="A15" s="152" t="n">
        <v>11</v>
      </c>
      <c r="B15" s="152" t="inlineStr">
        <is>
          <t>CPO683</t>
        </is>
      </c>
      <c r="C15" s="245" t="inlineStr">
        <is>
          <t>Christie</t>
        </is>
      </c>
      <c r="D15" s="152" t="inlineStr">
        <is>
          <t>Net 45 days</t>
        </is>
      </c>
      <c r="E15" s="245" t="inlineStr">
        <is>
          <t>장비</t>
        </is>
      </c>
      <c r="F15" s="246" t="n">
        <v>46010</v>
      </c>
      <c r="G15" s="247" t="n">
        <v>46057</v>
      </c>
      <c r="H15" s="151" t="n">
        <v>4620</v>
      </c>
      <c r="I15" s="248" t="n">
        <v>1454.7</v>
      </c>
      <c r="J15" s="159" t="n">
        <v>6720714</v>
      </c>
      <c r="K15" s="159" t="n">
        <v>6720714</v>
      </c>
      <c r="L15" s="159" t="n">
        <v>2329</v>
      </c>
      <c r="M15" s="159" t="n">
        <v>1491</v>
      </c>
      <c r="N15" s="152" t="inlineStr">
        <is>
          <t>Fan (15EA)</t>
        </is>
      </c>
      <c r="O15" s="247" t="n">
        <v>46015</v>
      </c>
      <c r="P15" s="152" t="inlineStr">
        <is>
          <t>1400825101450M</t>
        </is>
      </c>
      <c r="Q15" s="249">
        <f>IF(P15="","",IFERROR(VLOOKUP(O15,FxRateTable,4,TRUE),""))</f>
        <v/>
      </c>
      <c r="R15" s="151">
        <f>IF(P15="","",H15)</f>
        <v/>
      </c>
      <c r="S15" s="159" t="n">
        <v>0</v>
      </c>
      <c r="T15" s="159" t="n">
        <v>722808</v>
      </c>
      <c r="U15" s="246" t="n">
        <v>46030</v>
      </c>
      <c r="V15" s="152" t="inlineStr">
        <is>
          <t>아인관세사</t>
        </is>
      </c>
      <c r="W15" s="159" t="n">
        <v>14422</v>
      </c>
      <c r="X15" s="245" t="inlineStr">
        <is>
          <t>진로직스</t>
        </is>
      </c>
      <c r="Y15" s="159" t="n">
        <v>426904</v>
      </c>
      <c r="Z15" s="159">
        <f>S15+W15</f>
        <v/>
      </c>
      <c r="AA15" s="252">
        <f>K15+L15+M15+IFERROR(VLOOKUP(B15,RemitTable2,9,FALSE),0)+Y15+Z15</f>
        <v/>
      </c>
      <c r="AB15" s="251" t="n">
        <v>1</v>
      </c>
      <c r="AC15" s="252">
        <f>ROUND(AA15/AB15,0)</f>
        <v/>
      </c>
      <c r="AD15" s="152" t="inlineStr">
        <is>
          <t>2025-12</t>
        </is>
      </c>
      <c r="AE15" s="247" t="inlineStr">
        <is>
          <t>-</t>
        </is>
      </c>
      <c r="AF15" s="246" t="inlineStr">
        <is>
          <t>-</t>
        </is>
      </c>
    </row>
    <row r="16" ht="15.75" customHeight="1">
      <c r="A16" s="152" t="n">
        <v>12</v>
      </c>
      <c r="B16" s="152" t="inlineStr">
        <is>
          <t>MPO66</t>
        </is>
      </c>
      <c r="C16" s="245" t="inlineStr">
        <is>
          <t>MAG</t>
        </is>
      </c>
      <c r="D16" s="152" t="inlineStr">
        <is>
          <t>T/T</t>
        </is>
      </c>
      <c r="E16" s="245" t="inlineStr">
        <is>
          <t>장비</t>
        </is>
      </c>
      <c r="F16" s="246" t="n">
        <v>46011</v>
      </c>
      <c r="G16" s="247" t="n">
        <v>46043</v>
      </c>
      <c r="H16" s="151" t="n">
        <v>9626.35</v>
      </c>
      <c r="I16" s="248" t="n">
        <v>1476</v>
      </c>
      <c r="J16" s="159" t="n">
        <v>14208493</v>
      </c>
      <c r="K16" s="159" t="n">
        <v>14208493</v>
      </c>
      <c r="L16" s="159" t="n">
        <v>10000</v>
      </c>
      <c r="M16" s="159" t="n">
        <v>8000</v>
      </c>
      <c r="N16" s="152" t="inlineStr">
        <is>
          <t>DCO-16000/L-SUB (13EA)</t>
        </is>
      </c>
      <c r="O16" s="247" t="n">
        <v>46072</v>
      </c>
      <c r="P16" s="152" t="inlineStr">
        <is>
          <t>1421426100153M</t>
        </is>
      </c>
      <c r="Q16" s="249">
        <f>IF(P16="","",IFERROR(VLOOKUP(O16,FxRateTable,4,TRUE),""))</f>
        <v/>
      </c>
      <c r="R16" s="151">
        <f>IF(P16="","",H16)</f>
        <v/>
      </c>
      <c r="S16" s="159" t="n">
        <v>0</v>
      </c>
      <c r="T16" s="159" t="n">
        <v>1704871</v>
      </c>
      <c r="U16" s="246" t="n">
        <v>46087</v>
      </c>
      <c r="V16" s="152" t="inlineStr">
        <is>
          <t>아인관세사</t>
        </is>
      </c>
      <c r="W16" s="159" t="n">
        <v>93591</v>
      </c>
      <c r="X16" s="245" t="inlineStr">
        <is>
          <t>진로직스</t>
        </is>
      </c>
      <c r="Y16" s="159" t="n">
        <v>2690702</v>
      </c>
      <c r="Z16" s="159">
        <f>S16+W16</f>
        <v/>
      </c>
      <c r="AA16" s="252">
        <f>K16+L16+M16+IFERROR(VLOOKUP(B16,RemitTable2,9,FALSE),0)+Y16+Z16</f>
        <v/>
      </c>
      <c r="AB16" s="251" t="n">
        <v>13</v>
      </c>
      <c r="AC16" s="252">
        <f>ROUND(AA16/AB16,0)</f>
        <v/>
      </c>
      <c r="AD16" s="152" t="inlineStr">
        <is>
          <t>2026-02</t>
        </is>
      </c>
      <c r="AE16" s="247" t="inlineStr">
        <is>
          <t>-</t>
        </is>
      </c>
      <c r="AF16" s="246" t="inlineStr">
        <is>
          <t>-</t>
        </is>
      </c>
    </row>
    <row r="17" ht="15.75" customHeight="1">
      <c r="A17" s="152" t="n">
        <v>13</v>
      </c>
      <c r="B17" s="152" t="inlineStr">
        <is>
          <t>MPO65</t>
        </is>
      </c>
      <c r="C17" s="245" t="inlineStr">
        <is>
          <t>MAG</t>
        </is>
      </c>
      <c r="D17" s="152" t="inlineStr">
        <is>
          <t>T/T</t>
        </is>
      </c>
      <c r="E17" s="245" t="inlineStr">
        <is>
          <t>장비</t>
        </is>
      </c>
      <c r="F17" s="246" t="n">
        <v>46011</v>
      </c>
      <c r="G17" s="247" t="n">
        <v>46007</v>
      </c>
      <c r="H17" s="151" t="n">
        <v>4936</v>
      </c>
      <c r="I17" s="248" t="n">
        <v>1480</v>
      </c>
      <c r="J17" s="159" t="n">
        <v>7305280</v>
      </c>
      <c r="K17" s="159" t="n">
        <v>7305280</v>
      </c>
      <c r="L17" s="159" t="n">
        <v>3282</v>
      </c>
      <c r="M17" s="159" t="n">
        <v>2626</v>
      </c>
      <c r="N17" s="152" t="inlineStr">
        <is>
          <t>Audio Amp</t>
        </is>
      </c>
      <c r="O17" s="247" t="n">
        <v>46072</v>
      </c>
      <c r="P17" s="152" t="inlineStr">
        <is>
          <t>1421426100153M</t>
        </is>
      </c>
      <c r="Q17" s="249">
        <f>IF(P17="","",IFERROR(VLOOKUP(O17,FxRateTable,4,TRUE),""))</f>
        <v/>
      </c>
      <c r="R17" s="151">
        <f>IF(P17="","",H17)</f>
        <v/>
      </c>
      <c r="S17" s="159" t="n">
        <v>0</v>
      </c>
      <c r="T17" s="159" t="n">
        <v>874189</v>
      </c>
      <c r="U17" s="246" t="n">
        <v>46087</v>
      </c>
      <c r="V17" s="152" t="inlineStr">
        <is>
          <t>아인관세사</t>
        </is>
      </c>
      <c r="W17" s="159" t="n">
        <v>47990</v>
      </c>
      <c r="X17" s="245" t="inlineStr">
        <is>
          <t>진로직스</t>
        </is>
      </c>
      <c r="Y17" s="159" t="n">
        <v>1379682</v>
      </c>
      <c r="Z17" s="159">
        <f>S17+W17</f>
        <v/>
      </c>
      <c r="AA17" s="252">
        <f>K17+L17+M17+IFERROR(VLOOKUP(B17,RemitTable2,9,FALSE),0)+Y17+Z17</f>
        <v/>
      </c>
      <c r="AB17" s="251" t="n">
        <v>1</v>
      </c>
      <c r="AC17" s="252">
        <f>ROUND(AA17/AB17,0)</f>
        <v/>
      </c>
      <c r="AD17" s="152" t="inlineStr">
        <is>
          <t>2026-02</t>
        </is>
      </c>
      <c r="AE17" s="247" t="inlineStr">
        <is>
          <t>-</t>
        </is>
      </c>
      <c r="AF17" s="246" t="inlineStr">
        <is>
          <t>-</t>
        </is>
      </c>
    </row>
    <row r="18" ht="15.75" customHeight="1">
      <c r="A18" s="152" t="n">
        <v>14</v>
      </c>
      <c r="B18" s="152" t="inlineStr">
        <is>
          <t>CPO689</t>
        </is>
      </c>
      <c r="C18" s="245" t="inlineStr">
        <is>
          <t>Christie</t>
        </is>
      </c>
      <c r="D18" s="152" t="inlineStr">
        <is>
          <t>Net 45 days</t>
        </is>
      </c>
      <c r="E18" s="245" t="inlineStr">
        <is>
          <t>부품</t>
        </is>
      </c>
      <c r="F18" s="246" t="n">
        <v>46025</v>
      </c>
      <c r="G18" s="247" t="n">
        <v>46072</v>
      </c>
      <c r="H18" s="151" t="n">
        <v>2745</v>
      </c>
      <c r="I18" s="248" t="n">
        <v>1451.7</v>
      </c>
      <c r="J18" s="159" t="n">
        <v>3984917</v>
      </c>
      <c r="K18" s="159" t="n">
        <v>3984917</v>
      </c>
      <c r="L18" s="159" t="n">
        <v>1565</v>
      </c>
      <c r="M18" s="159" t="n">
        <v>1252</v>
      </c>
      <c r="N18" s="152" t="inlineStr">
        <is>
          <t>Parts</t>
        </is>
      </c>
      <c r="O18" s="247" t="n">
        <v>46042</v>
      </c>
      <c r="P18" s="152" t="inlineStr">
        <is>
          <t>2317626055855M</t>
        </is>
      </c>
      <c r="Q18" s="249">
        <f>IF(P18="","",IFERROR(VLOOKUP(O18,FxRateTable,4,TRUE),""))</f>
        <v/>
      </c>
      <c r="R18" s="151">
        <f>IF(P18="","",H18)</f>
        <v/>
      </c>
      <c r="S18" s="159" t="n">
        <v>20430</v>
      </c>
      <c r="T18" s="159" t="n">
        <v>409790</v>
      </c>
      <c r="U18" s="246" t="n">
        <v>46057</v>
      </c>
      <c r="V18" s="152" t="inlineStr">
        <is>
          <t>-</t>
        </is>
      </c>
      <c r="W18" s="159" t="n">
        <v>0</v>
      </c>
      <c r="X18" s="245" t="inlineStr">
        <is>
          <t>Fedex</t>
        </is>
      </c>
      <c r="Y18" s="159" t="n">
        <v>162080</v>
      </c>
      <c r="Z18" s="159">
        <f>S18+W18</f>
        <v/>
      </c>
      <c r="AA18" s="252">
        <f>K18+L18+M18+IFERROR(VLOOKUP(B18,RemitTable2,9,FALSE),0)+Y18+Z18</f>
        <v/>
      </c>
      <c r="AB18" s="251" t="n">
        <v>1</v>
      </c>
      <c r="AC18" s="252">
        <f>ROUND(AA18/AB18,0)</f>
        <v/>
      </c>
      <c r="AD18" s="152" t="inlineStr">
        <is>
          <t>2026-01</t>
        </is>
      </c>
      <c r="AE18" s="247" t="inlineStr">
        <is>
          <t>-</t>
        </is>
      </c>
      <c r="AF18" s="246" t="inlineStr">
        <is>
          <t>-</t>
        </is>
      </c>
    </row>
    <row r="19" ht="15.75" customHeight="1">
      <c r="A19" s="152" t="n">
        <v>15</v>
      </c>
      <c r="B19" s="152" t="inlineStr">
        <is>
          <t>GPO467</t>
        </is>
      </c>
      <c r="C19" s="245" t="inlineStr">
        <is>
          <t>GDC</t>
        </is>
      </c>
      <c r="D19" s="152" t="inlineStr">
        <is>
          <t>Net 30 days</t>
        </is>
      </c>
      <c r="E19" s="245" t="inlineStr">
        <is>
          <t>장비</t>
        </is>
      </c>
      <c r="F19" s="246" t="n">
        <v>46029</v>
      </c>
      <c r="G19" s="247" t="n">
        <v>46113</v>
      </c>
      <c r="H19" s="151" t="n">
        <v>1700</v>
      </c>
      <c r="I19" s="248" t="n">
        <v>1506.4</v>
      </c>
      <c r="J19" s="159" t="n">
        <v>2560880</v>
      </c>
      <c r="K19" s="159" t="n">
        <v>2560880</v>
      </c>
      <c r="L19" s="159" t="n">
        <v>2594</v>
      </c>
      <c r="M19" s="159" t="n">
        <v>2075</v>
      </c>
      <c r="N19" s="152" t="inlineStr">
        <is>
          <t>SR-1000 Face Plate(20)+Security Gate(10)</t>
        </is>
      </c>
      <c r="O19" s="247" t="n">
        <v>46056</v>
      </c>
      <c r="P19" s="152" t="inlineStr">
        <is>
          <t>2317626105219M</t>
        </is>
      </c>
      <c r="Q19" s="249">
        <f>IF(P19="","",IFERROR(VLOOKUP(O19,FxRateTable,4,TRUE),""))</f>
        <v/>
      </c>
      <c r="R19" s="151">
        <f>IF(P19="","",H19)</f>
        <v/>
      </c>
      <c r="S19" s="159" t="n">
        <v>0</v>
      </c>
      <c r="T19" s="159" t="n">
        <v>250080</v>
      </c>
      <c r="U19" s="246" t="n">
        <v>46071</v>
      </c>
      <c r="V19" s="152" t="inlineStr">
        <is>
          <t>-</t>
        </is>
      </c>
      <c r="W19" s="159" t="n">
        <v>0</v>
      </c>
      <c r="X19" s="245" t="inlineStr">
        <is>
          <t>Fedex</t>
        </is>
      </c>
      <c r="Y19" s="159" t="n">
        <v>136050</v>
      </c>
      <c r="Z19" s="159">
        <f>S19+W19</f>
        <v/>
      </c>
      <c r="AA19" s="252">
        <f>K19+L19+M19+IFERROR(VLOOKUP(B19,RemitTable2,9,FALSE),0)+Y19+Z19</f>
        <v/>
      </c>
      <c r="AB19" s="251" t="n">
        <v>30</v>
      </c>
      <c r="AC19" s="252">
        <f>ROUND(AA19/AB19,0)</f>
        <v/>
      </c>
      <c r="AD19" s="152" t="inlineStr">
        <is>
          <t>2026-02</t>
        </is>
      </c>
      <c r="AE19" s="247" t="inlineStr">
        <is>
          <t>-</t>
        </is>
      </c>
      <c r="AF19" s="246" t="inlineStr">
        <is>
          <t>-</t>
        </is>
      </c>
    </row>
    <row r="20" ht="15.75" customHeight="1">
      <c r="A20" s="152" t="n">
        <v>16</v>
      </c>
      <c r="B20" s="152" t="inlineStr">
        <is>
          <t>CPO692-1</t>
        </is>
      </c>
      <c r="C20" s="245" t="inlineStr">
        <is>
          <t>Christie</t>
        </is>
      </c>
      <c r="D20" s="152" t="inlineStr">
        <is>
          <t>Net 45 days</t>
        </is>
      </c>
      <c r="E20" s="245" t="inlineStr">
        <is>
          <t>부품(렌즈)</t>
        </is>
      </c>
      <c r="F20" s="246" t="n">
        <v>46035</v>
      </c>
      <c r="G20" s="247" t="n">
        <v>46134</v>
      </c>
      <c r="H20" s="151" t="n">
        <v>11000</v>
      </c>
      <c r="I20" s="248" t="n">
        <v>1482.8</v>
      </c>
      <c r="J20" s="159" t="n">
        <v>16310800</v>
      </c>
      <c r="K20" s="159" t="n">
        <v>16310800</v>
      </c>
      <c r="L20" s="159" t="n">
        <v>462</v>
      </c>
      <c r="M20" s="159" t="n">
        <v>296</v>
      </c>
      <c r="N20" s="152" t="inlineStr">
        <is>
          <t>Lens (2EA)</t>
        </is>
      </c>
      <c r="O20" s="247" t="n">
        <v>46064</v>
      </c>
      <c r="P20" s="152" t="inlineStr">
        <is>
          <t>2235626138790M</t>
        </is>
      </c>
      <c r="Q20" s="249">
        <f>IF(P20="","",IFERROR(VLOOKUP(O20,FxRateTable,4,TRUE),""))</f>
        <v/>
      </c>
      <c r="R20" s="151">
        <f>IF(P20="","",H20)</f>
        <v/>
      </c>
      <c r="S20" s="159" t="n">
        <v>1297810</v>
      </c>
      <c r="T20" s="159" t="n">
        <v>1752040</v>
      </c>
      <c r="U20" s="246" t="n">
        <v>46079</v>
      </c>
      <c r="V20" s="152" t="inlineStr">
        <is>
          <t>-</t>
        </is>
      </c>
      <c r="W20" s="159" t="n">
        <v>0</v>
      </c>
      <c r="X20" s="245" t="inlineStr">
        <is>
          <t>DHL</t>
        </is>
      </c>
      <c r="Y20" s="159" t="n">
        <v>1553086</v>
      </c>
      <c r="Z20" s="159">
        <f>S20+W20</f>
        <v/>
      </c>
      <c r="AA20" s="252">
        <f>K20+L20+M20+IFERROR(VLOOKUP(B20,RemitTable2,9,FALSE),0)+Y20+Z20</f>
        <v/>
      </c>
      <c r="AB20" s="251" t="n">
        <v>2</v>
      </c>
      <c r="AC20" s="252">
        <f>ROUND(AA20/AB20,0)</f>
        <v/>
      </c>
      <c r="AD20" s="152" t="inlineStr">
        <is>
          <t>2026-02</t>
        </is>
      </c>
      <c r="AE20" s="247" t="inlineStr">
        <is>
          <t>-</t>
        </is>
      </c>
      <c r="AF20" s="246" t="inlineStr">
        <is>
          <t>-</t>
        </is>
      </c>
    </row>
    <row r="21" ht="15.75" customHeight="1">
      <c r="A21" s="152" t="n">
        <v>17</v>
      </c>
      <c r="B21" s="152" t="inlineStr">
        <is>
          <t>CPO692-2</t>
        </is>
      </c>
      <c r="C21" s="245" t="inlineStr">
        <is>
          <t>Christie</t>
        </is>
      </c>
      <c r="D21" s="152" t="inlineStr">
        <is>
          <t>Net 45 days</t>
        </is>
      </c>
      <c r="E21" s="245" t="inlineStr">
        <is>
          <t>장비</t>
        </is>
      </c>
      <c r="F21" s="246" t="n">
        <v>46035</v>
      </c>
      <c r="G21" s="247" t="n">
        <v>46134</v>
      </c>
      <c r="H21" s="151" t="n">
        <v>286580</v>
      </c>
      <c r="I21" s="248" t="n">
        <v>1482.8</v>
      </c>
      <c r="J21" s="159" t="n">
        <v>424940824</v>
      </c>
      <c r="K21" s="159" t="n">
        <v>424940824</v>
      </c>
      <c r="L21" s="159" t="n">
        <v>12038</v>
      </c>
      <c r="M21" s="159" t="n">
        <v>7704</v>
      </c>
      <c r="N21" s="152" t="inlineStr">
        <is>
          <t>Projector+Lens+ASSY (28EA)</t>
        </is>
      </c>
      <c r="O21" s="247" t="n">
        <v>46073</v>
      </c>
      <c r="P21" s="152" t="inlineStr">
        <is>
          <t>1400826101051M</t>
        </is>
      </c>
      <c r="Q21" s="249">
        <f>IF(P21="","",IFERROR(VLOOKUP(O21,FxRateTable,4,TRUE),""))</f>
        <v/>
      </c>
      <c r="R21" s="151">
        <f>IF(P21="","",H21)</f>
        <v/>
      </c>
      <c r="S21" s="159" t="n">
        <v>3450410</v>
      </c>
      <c r="T21" s="159" t="n">
        <v>42329590</v>
      </c>
      <c r="U21" s="246" t="n">
        <v>46088</v>
      </c>
      <c r="V21" s="152" t="inlineStr">
        <is>
          <t>조운관세사</t>
        </is>
      </c>
      <c r="W21" s="159" t="n">
        <v>250000</v>
      </c>
      <c r="X21" s="245" t="inlineStr">
        <is>
          <t>진로직스</t>
        </is>
      </c>
      <c r="Y21" s="159" t="n">
        <v>2649525</v>
      </c>
      <c r="Z21" s="159">
        <f>S21+W21</f>
        <v/>
      </c>
      <c r="AA21" s="252">
        <f>K21+L21+M21+IFERROR(VLOOKUP(B21,RemitTable2,9,FALSE),0)+Y21+Z21</f>
        <v/>
      </c>
      <c r="AB21" s="251" t="n">
        <v>28</v>
      </c>
      <c r="AC21" s="252">
        <f>ROUND(AA21/AB21,0)</f>
        <v/>
      </c>
      <c r="AD21" s="152" t="inlineStr">
        <is>
          <t>2026-02</t>
        </is>
      </c>
      <c r="AE21" s="247" t="inlineStr">
        <is>
          <t>-</t>
        </is>
      </c>
      <c r="AF21" s="246" t="inlineStr">
        <is>
          <t>-</t>
        </is>
      </c>
    </row>
    <row r="22" ht="15.75" customHeight="1">
      <c r="A22" s="152" t="n">
        <v>18</v>
      </c>
      <c r="B22" s="152" t="inlineStr">
        <is>
          <t>CPO690</t>
        </is>
      </c>
      <c r="C22" s="245" t="inlineStr">
        <is>
          <t>Christie</t>
        </is>
      </c>
      <c r="D22" s="152" t="inlineStr">
        <is>
          <t>Net 45 days</t>
        </is>
      </c>
      <c r="E22" s="245" t="inlineStr">
        <is>
          <t>부품</t>
        </is>
      </c>
      <c r="F22" s="246" t="n">
        <v>46050</v>
      </c>
      <c r="G22" s="247" t="n">
        <v>46113</v>
      </c>
      <c r="H22" s="151" t="n">
        <v>9740</v>
      </c>
      <c r="I22" s="248" t="n">
        <v>1505.7</v>
      </c>
      <c r="J22" s="159" t="n">
        <v>14665518</v>
      </c>
      <c r="K22" s="159" t="n">
        <v>14665518</v>
      </c>
      <c r="L22" s="159" t="n">
        <v>3544</v>
      </c>
      <c r="M22" s="159" t="n">
        <v>2268</v>
      </c>
      <c r="N22" s="152" t="inlineStr">
        <is>
          <t>ASSY Liquid Cooling (20EA)</t>
        </is>
      </c>
      <c r="O22" s="247" t="n">
        <v>46053</v>
      </c>
      <c r="P22" s="152" t="inlineStr">
        <is>
          <t>2235626096487M</t>
        </is>
      </c>
      <c r="Q22" s="249">
        <f>IF(P22="","",IFERROR(VLOOKUP(O22,FxRateTable,4,TRUE),""))</f>
        <v/>
      </c>
      <c r="R22" s="151">
        <f>IF(P22="","",H22)</f>
        <v/>
      </c>
      <c r="S22" s="159" t="n">
        <v>0</v>
      </c>
      <c r="T22" s="159" t="n">
        <v>1493440</v>
      </c>
      <c r="U22" s="246" t="n">
        <v>46067</v>
      </c>
      <c r="V22" s="152" t="inlineStr">
        <is>
          <t>-</t>
        </is>
      </c>
      <c r="W22" s="159" t="n">
        <v>0</v>
      </c>
      <c r="X22" s="245" t="inlineStr">
        <is>
          <t>DHL</t>
        </is>
      </c>
      <c r="Y22" s="159" t="n">
        <v>1561040</v>
      </c>
      <c r="Z22" s="159">
        <f>S22+W22</f>
        <v/>
      </c>
      <c r="AA22" s="252">
        <f>K22+L22+M22+IFERROR(VLOOKUP(B22,RemitTable2,9,FALSE),0)+Y22+Z22</f>
        <v/>
      </c>
      <c r="AB22" s="251" t="n">
        <v>20</v>
      </c>
      <c r="AC22" s="252">
        <f>ROUND(AA22/AB22,0)</f>
        <v/>
      </c>
      <c r="AD22" s="152" t="inlineStr">
        <is>
          <t>2026-01</t>
        </is>
      </c>
      <c r="AE22" s="247" t="inlineStr">
        <is>
          <t>-</t>
        </is>
      </c>
      <c r="AF22" s="246" t="inlineStr">
        <is>
          <t>-</t>
        </is>
      </c>
    </row>
    <row r="23" ht="15.75" customHeight="1">
      <c r="A23" s="253" t="n">
        <v>19</v>
      </c>
      <c r="B23" s="253" t="inlineStr">
        <is>
          <t>CPO693</t>
        </is>
      </c>
      <c r="C23" s="254" t="inlineStr">
        <is>
          <t>Christie</t>
        </is>
      </c>
      <c r="D23" s="253" t="inlineStr">
        <is>
          <t>Net 45 days</t>
        </is>
      </c>
      <c r="E23" s="254" t="inlineStr">
        <is>
          <t>장비</t>
        </is>
      </c>
      <c r="F23" s="255" t="n">
        <v>46071</v>
      </c>
      <c r="G23" s="256" t="inlineStr">
        <is>
          <t>-</t>
        </is>
      </c>
      <c r="H23" s="257" t="n">
        <v>35674</v>
      </c>
      <c r="I23" s="258">
        <f>IFERROR(VLOOKUP(B23,RemitTable2,7,FALSE),0)</f>
        <v/>
      </c>
      <c r="J23" s="259" t="n">
        <v>0</v>
      </c>
      <c r="K23" s="259">
        <f>IFERROR(ROUND(H23*I23,0),0)</f>
        <v/>
      </c>
      <c r="L23" s="259">
        <f>IFERROR(VLOOKUP(B23,RemitTable2,10,FALSE),0)</f>
        <v/>
      </c>
      <c r="M23" s="259">
        <f>IFERROR(VLOOKUP(B23,RemitTable2,11,FALSE),0)</f>
        <v/>
      </c>
      <c r="N23" s="253" t="inlineStr">
        <is>
          <t>Projector (한국)</t>
        </is>
      </c>
      <c r="O23" s="256" t="n"/>
      <c r="P23" s="253" t="n"/>
      <c r="Q23" s="260">
        <f>IF(P23="","",IFERROR(VLOOKUP(O23,FxRateTable,4,TRUE),""))</f>
        <v/>
      </c>
      <c r="R23" s="257">
        <f>IF(P23="","",H23)</f>
        <v/>
      </c>
      <c r="S23" s="259" t="n">
        <v>0</v>
      </c>
      <c r="T23" s="259" t="n">
        <v>0</v>
      </c>
      <c r="U23" s="255" t="n"/>
      <c r="V23" s="253" t="inlineStr">
        <is>
          <t>-</t>
        </is>
      </c>
      <c r="W23" s="259" t="n">
        <v>0</v>
      </c>
      <c r="X23" s="254" t="inlineStr">
        <is>
          <t>-</t>
        </is>
      </c>
      <c r="Y23" s="259" t="n">
        <v>0</v>
      </c>
      <c r="Z23" s="259">
        <f>S23+W23</f>
        <v/>
      </c>
      <c r="AA23" s="261">
        <f>K23+L23+M23+IFERROR(VLOOKUP(B23,RemitTable2,9,FALSE),0)+Y23+Z23</f>
        <v/>
      </c>
      <c r="AB23" s="262" t="n">
        <v>1</v>
      </c>
      <c r="AC23" s="261">
        <f>ROUND(AA23/AB23,0)</f>
        <v/>
      </c>
      <c r="AD23" s="253" t="n"/>
      <c r="AE23" s="256" t="inlineStr">
        <is>
          <t>-</t>
        </is>
      </c>
      <c r="AF23" s="255" t="inlineStr">
        <is>
          <t>-</t>
        </is>
      </c>
    </row>
    <row r="24" ht="15.75" customHeight="1">
      <c r="A24" s="152" t="n">
        <v>20</v>
      </c>
      <c r="B24" s="152" t="inlineStr">
        <is>
          <t>GPO468-1</t>
        </is>
      </c>
      <c r="C24" s="245" t="inlineStr">
        <is>
          <t>GDC</t>
        </is>
      </c>
      <c r="D24" s="152" t="inlineStr">
        <is>
          <t>Net 30 days</t>
        </is>
      </c>
      <c r="E24" s="245" t="inlineStr">
        <is>
          <t>장비</t>
        </is>
      </c>
      <c r="F24" s="246" t="n">
        <v>46080</v>
      </c>
      <c r="G24" s="247" t="n">
        <v>46126</v>
      </c>
      <c r="H24" s="151" t="n">
        <v>36190</v>
      </c>
      <c r="I24" s="248" t="n">
        <v>1481.9</v>
      </c>
      <c r="J24" s="159" t="n">
        <v>53629961</v>
      </c>
      <c r="K24" s="159" t="n">
        <v>53629961</v>
      </c>
      <c r="L24" s="159" t="n">
        <v>7847</v>
      </c>
      <c r="M24" s="159" t="n">
        <v>5022</v>
      </c>
      <c r="N24" s="152" t="inlineStr">
        <is>
          <t>SR-1000 IMB (10EA)</t>
        </is>
      </c>
      <c r="O24" s="247" t="n">
        <v>46095</v>
      </c>
      <c r="P24" s="152" t="inlineStr">
        <is>
          <t>1400826101085M</t>
        </is>
      </c>
      <c r="Q24" s="249">
        <f>IF(P24="","",IFERROR(VLOOKUP(O24,FxRateTable,4,TRUE),""))</f>
        <v/>
      </c>
      <c r="R24" s="151">
        <f>IF(P24="","",H24)</f>
        <v/>
      </c>
      <c r="S24" s="159" t="n">
        <v>0</v>
      </c>
      <c r="T24" s="159" t="n">
        <v>5395574</v>
      </c>
      <c r="U24" s="246" t="n">
        <v>46110</v>
      </c>
      <c r="V24" s="152" t="inlineStr">
        <is>
          <t>조운관세사</t>
        </is>
      </c>
      <c r="W24" s="159" t="n">
        <v>137864</v>
      </c>
      <c r="X24" s="245" t="inlineStr">
        <is>
          <t>진로직스</t>
        </is>
      </c>
      <c r="Y24" s="159" t="n">
        <v>1232133</v>
      </c>
      <c r="Z24" s="159">
        <f>S24+W24</f>
        <v/>
      </c>
      <c r="AA24" s="252">
        <f>K24+L24+M24+IFERROR(VLOOKUP(B24,RemitTable2,9,FALSE),0)+Y24+Z24</f>
        <v/>
      </c>
      <c r="AB24" s="251" t="n">
        <v>10</v>
      </c>
      <c r="AC24" s="252">
        <f>ROUND(AA24/AB24,0)</f>
        <v/>
      </c>
      <c r="AD24" s="152" t="inlineStr">
        <is>
          <t>2026-03</t>
        </is>
      </c>
      <c r="AE24" s="247" t="inlineStr">
        <is>
          <t>-</t>
        </is>
      </c>
      <c r="AF24" s="246" t="inlineStr">
        <is>
          <t>-</t>
        </is>
      </c>
    </row>
    <row r="25" ht="15.75" customHeight="1">
      <c r="A25" s="152" t="n">
        <v>21</v>
      </c>
      <c r="B25" s="152" t="inlineStr">
        <is>
          <t>GPO472</t>
        </is>
      </c>
      <c r="C25" s="245" t="inlineStr">
        <is>
          <t>GDC</t>
        </is>
      </c>
      <c r="D25" s="152" t="inlineStr">
        <is>
          <t>Net 30 days</t>
        </is>
      </c>
      <c r="E25" s="245" t="inlineStr">
        <is>
          <t>부품</t>
        </is>
      </c>
      <c r="F25" s="246" t="n">
        <v>46088</v>
      </c>
      <c r="G25" s="247" t="n">
        <v>46126</v>
      </c>
      <c r="H25" s="151" t="n">
        <v>180</v>
      </c>
      <c r="I25" s="248" t="n">
        <v>1481.9</v>
      </c>
      <c r="J25" s="159" t="n">
        <v>266742</v>
      </c>
      <c r="K25" s="159" t="n">
        <v>266742</v>
      </c>
      <c r="L25" s="159" t="n">
        <v>39</v>
      </c>
      <c r="M25" s="159" t="n">
        <v>25</v>
      </c>
      <c r="N25" s="152" t="inlineStr">
        <is>
          <t>SR-1000 Coverplate (3EA)</t>
        </is>
      </c>
      <c r="O25" s="247" t="n">
        <v>46095</v>
      </c>
      <c r="P25" s="152" t="inlineStr">
        <is>
          <t>1400826101085M</t>
        </is>
      </c>
      <c r="Q25" s="249">
        <f>IF(P25="","",IFERROR(VLOOKUP(O25,FxRateTable,4,TRUE),""))</f>
        <v/>
      </c>
      <c r="R25" s="151">
        <f>IF(P25="","",H25)</f>
        <v/>
      </c>
      <c r="S25" s="159" t="n">
        <v>0</v>
      </c>
      <c r="T25" s="159" t="n">
        <v>26836</v>
      </c>
      <c r="U25" s="246" t="n">
        <v>46110</v>
      </c>
      <c r="V25" s="152" t="inlineStr">
        <is>
          <t>조운관세사</t>
        </is>
      </c>
      <c r="W25" s="159" t="n">
        <v>536</v>
      </c>
      <c r="X25" s="245" t="inlineStr">
        <is>
          <t>진로직스</t>
        </is>
      </c>
      <c r="Y25" s="159" t="n">
        <v>6128</v>
      </c>
      <c r="Z25" s="159">
        <f>S25+W25</f>
        <v/>
      </c>
      <c r="AA25" s="252">
        <f>K25+L25+M25+IFERROR(VLOOKUP(B25,RemitTable2,9,FALSE),0)+Y25+Z25</f>
        <v/>
      </c>
      <c r="AB25" s="251" t="n">
        <v>3</v>
      </c>
      <c r="AC25" s="252">
        <f>ROUND(AA25/AB25,0)</f>
        <v/>
      </c>
      <c r="AD25" s="152" t="inlineStr">
        <is>
          <t>2026-03</t>
        </is>
      </c>
      <c r="AE25" s="247" t="inlineStr">
        <is>
          <t>-</t>
        </is>
      </c>
      <c r="AF25" s="246" t="inlineStr">
        <is>
          <t>-</t>
        </is>
      </c>
    </row>
    <row r="26" ht="15.75" customHeight="1">
      <c r="A26" s="152" t="n">
        <v>22</v>
      </c>
      <c r="B26" s="152" t="inlineStr">
        <is>
          <t>GPO468-2</t>
        </is>
      </c>
      <c r="C26" s="245" t="inlineStr">
        <is>
          <t>GDC</t>
        </is>
      </c>
      <c r="D26" s="152" t="inlineStr">
        <is>
          <t>Net 30 days</t>
        </is>
      </c>
      <c r="E26" s="245" t="inlineStr">
        <is>
          <t>장비</t>
        </is>
      </c>
      <c r="F26" s="246" t="n">
        <v>46088</v>
      </c>
      <c r="G26" s="247" t="n">
        <v>46126</v>
      </c>
      <c r="H26" s="151" t="n">
        <v>21280</v>
      </c>
      <c r="I26" s="248" t="n">
        <v>1481.9</v>
      </c>
      <c r="J26" s="159" t="n">
        <v>31534832</v>
      </c>
      <c r="K26" s="159" t="n">
        <v>31534832</v>
      </c>
      <c r="L26" s="159" t="n">
        <v>4614</v>
      </c>
      <c r="M26" s="159" t="n">
        <v>2953</v>
      </c>
      <c r="N26" s="152" t="inlineStr">
        <is>
          <t>IMB</t>
        </is>
      </c>
      <c r="O26" s="247" t="n">
        <v>46104</v>
      </c>
      <c r="P26" s="152" t="inlineStr">
        <is>
          <t>2317626258975M</t>
        </is>
      </c>
      <c r="Q26" s="249">
        <f>IF(P26="","",IFERROR(VLOOKUP(O26,FxRateTable,4,TRUE),""))</f>
        <v/>
      </c>
      <c r="R26" s="151">
        <f>IF(P26="","",H26)</f>
        <v/>
      </c>
      <c r="S26" s="159" t="n">
        <v>0</v>
      </c>
      <c r="T26" s="159" t="n">
        <v>4747530</v>
      </c>
      <c r="U26" s="246" t="n">
        <v>46119</v>
      </c>
      <c r="V26" s="152" t="inlineStr">
        <is>
          <t>-</t>
        </is>
      </c>
      <c r="W26" s="159" t="n">
        <v>0</v>
      </c>
      <c r="X26" s="245" t="inlineStr">
        <is>
          <t>Fedex</t>
        </is>
      </c>
      <c r="Y26" s="159" t="n">
        <v>904960</v>
      </c>
      <c r="Z26" s="159">
        <f>S26+W26</f>
        <v/>
      </c>
      <c r="AA26" s="252">
        <f>K26+L26+M26+IFERROR(VLOOKUP(B26,RemitTable2,9,FALSE),0)+Y26+Z26</f>
        <v/>
      </c>
      <c r="AB26" s="251" t="n">
        <v>4</v>
      </c>
      <c r="AC26" s="252">
        <f>ROUND(AA26/AB26,0)</f>
        <v/>
      </c>
      <c r="AD26" s="152" t="inlineStr">
        <is>
          <t>2026-03</t>
        </is>
      </c>
      <c r="AE26" s="247" t="inlineStr">
        <is>
          <t>-</t>
        </is>
      </c>
      <c r="AF26" s="246" t="inlineStr">
        <is>
          <t>-</t>
        </is>
      </c>
    </row>
    <row r="27" ht="15.75" customHeight="1">
      <c r="A27" s="152" t="n">
        <v>23</v>
      </c>
      <c r="B27" s="152" t="inlineStr">
        <is>
          <t>CPO695-1</t>
        </is>
      </c>
      <c r="C27" s="245" t="inlineStr">
        <is>
          <t>Christie</t>
        </is>
      </c>
      <c r="D27" s="152" t="inlineStr">
        <is>
          <t>Net 45 days</t>
        </is>
      </c>
      <c r="E27" s="245" t="inlineStr">
        <is>
          <t>부품(Fan)</t>
        </is>
      </c>
      <c r="F27" s="246" t="n">
        <v>46098</v>
      </c>
      <c r="G27" s="247" t="n">
        <v>46146</v>
      </c>
      <c r="H27" s="151" t="n">
        <v>2058</v>
      </c>
      <c r="I27" s="248" t="n">
        <v>1474.9</v>
      </c>
      <c r="J27" s="159" t="n">
        <v>3035344</v>
      </c>
      <c r="K27" s="159" t="n">
        <v>3035344</v>
      </c>
      <c r="L27" s="159" t="n">
        <v>1200</v>
      </c>
      <c r="M27" s="159" t="n">
        <v>768</v>
      </c>
      <c r="N27" s="152" t="inlineStr">
        <is>
          <t>Fan (7EA)</t>
        </is>
      </c>
      <c r="O27" s="247" t="n">
        <v>46105</v>
      </c>
      <c r="P27" s="152" t="inlineStr">
        <is>
          <t>2235626283517M</t>
        </is>
      </c>
      <c r="Q27" s="249">
        <f>IF(P27="","",IFERROR(VLOOKUP(O27,FxRateTable,4,TRUE),""))</f>
        <v/>
      </c>
      <c r="R27" s="151">
        <f>IF(P27="","",H27)</f>
        <v/>
      </c>
      <c r="S27" s="159" t="n">
        <v>0</v>
      </c>
      <c r="T27" s="159" t="n">
        <v>350480</v>
      </c>
      <c r="U27" s="246" t="n">
        <v>46120</v>
      </c>
      <c r="V27" s="152" t="inlineStr">
        <is>
          <t>운서합동</t>
        </is>
      </c>
      <c r="W27" s="159" t="n">
        <v>0</v>
      </c>
      <c r="X27" s="245" t="inlineStr">
        <is>
          <t>DHL</t>
        </is>
      </c>
      <c r="Y27" s="159" t="n">
        <v>6264783</v>
      </c>
      <c r="Z27" s="159">
        <f>S27+W27</f>
        <v/>
      </c>
      <c r="AA27" s="252">
        <f>K27+L27+M27+IFERROR(VLOOKUP(B27,RemitTable2,9,FALSE),0)+Y27+Z27</f>
        <v/>
      </c>
      <c r="AB27" s="251" t="n">
        <v>7</v>
      </c>
      <c r="AC27" s="252">
        <f>ROUND(AA27/AB27,0)</f>
        <v/>
      </c>
      <c r="AD27" s="152" t="inlineStr">
        <is>
          <t>2026-03</t>
        </is>
      </c>
      <c r="AE27" s="247" t="inlineStr">
        <is>
          <t>-</t>
        </is>
      </c>
      <c r="AF27" s="246" t="inlineStr">
        <is>
          <t>-</t>
        </is>
      </c>
    </row>
    <row r="28" ht="15.75" customHeight="1">
      <c r="A28" s="152" t="n">
        <v>24</v>
      </c>
      <c r="B28" s="152" t="inlineStr">
        <is>
          <t>CPO695-2</t>
        </is>
      </c>
      <c r="C28" s="245" t="inlineStr">
        <is>
          <t>Christie</t>
        </is>
      </c>
      <c r="D28" s="152" t="inlineStr">
        <is>
          <t>Net 45 days</t>
        </is>
      </c>
      <c r="E28" s="245" t="inlineStr">
        <is>
          <t>부품(Filter)</t>
        </is>
      </c>
      <c r="F28" s="246" t="n">
        <v>46098</v>
      </c>
      <c r="G28" s="247" t="n">
        <v>46146</v>
      </c>
      <c r="H28" s="151" t="n">
        <v>1977</v>
      </c>
      <c r="I28" s="248" t="n">
        <v>1474.9</v>
      </c>
      <c r="J28" s="159" t="n">
        <v>2915877</v>
      </c>
      <c r="K28" s="159" t="n">
        <v>2915877</v>
      </c>
      <c r="L28" s="159" t="n">
        <v>1153</v>
      </c>
      <c r="M28" s="159" t="n">
        <v>738</v>
      </c>
      <c r="N28" s="152" t="inlineStr">
        <is>
          <t>Filter(11EA)+Fan(5EA)</t>
        </is>
      </c>
      <c r="O28" s="247" t="n">
        <v>46104</v>
      </c>
      <c r="P28" s="152" t="inlineStr">
        <is>
          <t>2235626277307M</t>
        </is>
      </c>
      <c r="Q28" s="249">
        <f>IF(P28="","",IFERROR(VLOOKUP(O28,FxRateTable,4,TRUE),""))</f>
        <v/>
      </c>
      <c r="R28" s="151">
        <f>IF(P28="","",H28)</f>
        <v/>
      </c>
      <c r="S28" s="159" t="n">
        <v>50790</v>
      </c>
      <c r="T28" s="159" t="n">
        <v>317310</v>
      </c>
      <c r="U28" s="246" t="n">
        <v>46119</v>
      </c>
      <c r="V28" s="152" t="inlineStr">
        <is>
          <t>운서합동</t>
        </is>
      </c>
      <c r="W28" s="159" t="n">
        <v>0</v>
      </c>
      <c r="X28" s="245" t="inlineStr">
        <is>
          <t>DHL</t>
        </is>
      </c>
      <c r="Y28" s="159" t="n">
        <v>1454605</v>
      </c>
      <c r="Z28" s="159">
        <f>S28+W28</f>
        <v/>
      </c>
      <c r="AA28" s="252">
        <f>K28+L28+M28+IFERROR(VLOOKUP(B28,RemitTable2,9,FALSE),0)+Y28+Z28</f>
        <v/>
      </c>
      <c r="AB28" s="251" t="n">
        <v>16</v>
      </c>
      <c r="AC28" s="252">
        <f>ROUND(AA28/AB28,0)</f>
        <v/>
      </c>
      <c r="AD28" s="152" t="inlineStr">
        <is>
          <t>2026-03</t>
        </is>
      </c>
      <c r="AE28" s="247" t="inlineStr">
        <is>
          <t>-</t>
        </is>
      </c>
      <c r="AF28" s="246" t="inlineStr">
        <is>
          <t>-</t>
        </is>
      </c>
    </row>
    <row r="29" ht="15.75" customHeight="1">
      <c r="A29" s="152" t="n">
        <v>25</v>
      </c>
      <c r="B29" s="152" t="inlineStr">
        <is>
          <t>CPO698</t>
        </is>
      </c>
      <c r="C29" s="245" t="inlineStr">
        <is>
          <t>Christie</t>
        </is>
      </c>
      <c r="D29" s="152" t="inlineStr">
        <is>
          <t>Net 45 days</t>
        </is>
      </c>
      <c r="E29" s="245" t="inlineStr">
        <is>
          <t>부품(렌즈)</t>
        </is>
      </c>
      <c r="F29" s="246" t="n">
        <v>46106</v>
      </c>
      <c r="G29" s="247" t="n">
        <v>46162</v>
      </c>
      <c r="H29" s="151" t="n">
        <v>4290</v>
      </c>
      <c r="I29" s="248" t="n">
        <v>1510.6</v>
      </c>
      <c r="J29" s="159" t="n">
        <v>6480474</v>
      </c>
      <c r="K29" s="159" t="n">
        <v>6480474</v>
      </c>
      <c r="L29" s="159" t="n">
        <v>7500</v>
      </c>
      <c r="M29" s="159" t="n">
        <v>8000</v>
      </c>
      <c r="N29" s="152" t="inlineStr">
        <is>
          <t>Lens 1.62-2.7 (2EA)</t>
        </is>
      </c>
      <c r="O29" s="247" t="n">
        <v>46122</v>
      </c>
      <c r="P29" s="152" t="inlineStr">
        <is>
          <t>2235626346781M</t>
        </is>
      </c>
      <c r="Q29" s="249">
        <f>IF(P29="","",IFERROR(VLOOKUP(O29,FxRateTable,4,TRUE),""))</f>
        <v/>
      </c>
      <c r="R29" s="151">
        <f>IF(P29="","",H29)</f>
        <v/>
      </c>
      <c r="S29" s="159" t="n">
        <v>524320</v>
      </c>
      <c r="T29" s="159" t="n">
        <v>707830</v>
      </c>
      <c r="U29" s="246" t="n"/>
      <c r="V29" s="152" t="inlineStr">
        <is>
          <t>운서합동</t>
        </is>
      </c>
      <c r="W29" s="159" t="n">
        <v>0</v>
      </c>
      <c r="X29" s="245" t="inlineStr">
        <is>
          <t>DHL</t>
        </is>
      </c>
      <c r="Y29" s="159" t="n">
        <v>174806</v>
      </c>
      <c r="Z29" s="159">
        <f>S29+W29</f>
        <v/>
      </c>
      <c r="AA29" s="252">
        <f>K29+L29+M29+IFERROR(VLOOKUP(B29,RemitTable2,9,FALSE),0)+Y29+Z29</f>
        <v/>
      </c>
      <c r="AB29" s="251" t="n">
        <v>2</v>
      </c>
      <c r="AC29" s="252">
        <f>ROUND(AA29/AB29,0)</f>
        <v/>
      </c>
      <c r="AD29" s="152" t="inlineStr">
        <is>
          <t>2026-04</t>
        </is>
      </c>
      <c r="AE29" s="247" t="n"/>
      <c r="AF29" s="246" t="n"/>
    </row>
    <row r="30" ht="15.75" customHeight="1">
      <c r="A30" s="263" t="n">
        <v>26</v>
      </c>
      <c r="B30" s="263" t="inlineStr">
        <is>
          <t>CPO696-1</t>
        </is>
      </c>
      <c r="C30" s="263" t="inlineStr">
        <is>
          <t>Christie</t>
        </is>
      </c>
      <c r="D30" s="263" t="inlineStr">
        <is>
          <t>Net 45 days</t>
        </is>
      </c>
      <c r="E30" s="263" t="inlineStr">
        <is>
          <t>장비</t>
        </is>
      </c>
      <c r="F30" s="264" t="n">
        <v>46113</v>
      </c>
      <c r="G30" s="264" t="n">
        <v>46171</v>
      </c>
      <c r="H30" s="265" t="n">
        <v>78209</v>
      </c>
      <c r="I30" s="266" t="n">
        <v>1502.7</v>
      </c>
      <c r="J30" s="267" t="n">
        <v>117524664</v>
      </c>
      <c r="K30" s="267" t="n">
        <v>117524664</v>
      </c>
      <c r="L30" s="267" t="n">
        <v>9619</v>
      </c>
      <c r="M30" s="267" t="n">
        <v>6156</v>
      </c>
      <c r="N30" s="263" t="inlineStr">
        <is>
          <t>CP4445-RGB Projector 외 (렌탈용)</t>
        </is>
      </c>
      <c r="O30" s="264" t="n">
        <v>46129</v>
      </c>
      <c r="P30" s="263" t="inlineStr">
        <is>
          <t>14008-26-101125M</t>
        </is>
      </c>
      <c r="Q30" s="268">
        <f>IF(P30="","",IFERROR(VLOOKUP(O30,FxRateTable,4,TRUE),""))</f>
        <v/>
      </c>
      <c r="R30" s="265">
        <f>IF(P30="","",H30)</f>
        <v/>
      </c>
      <c r="S30" s="267" t="n">
        <v>67570</v>
      </c>
      <c r="T30" s="267" t="n">
        <v>12073120</v>
      </c>
      <c r="U30" s="264" t="n"/>
      <c r="V30" s="263" t="inlineStr">
        <is>
          <t>조운관세사무소</t>
        </is>
      </c>
      <c r="W30" s="267" t="n">
        <v>286000</v>
      </c>
      <c r="X30" s="263" t="inlineStr">
        <is>
          <t>진로직스</t>
        </is>
      </c>
      <c r="Y30" s="267" t="n">
        <v>3909069</v>
      </c>
      <c r="Z30" s="267">
        <f>S30+W30</f>
        <v/>
      </c>
      <c r="AA30" s="269">
        <f>K30+L30+M30+IFERROR(VLOOKUP(B30,RemitTable2,9,FALSE),0)+Y30+Z30</f>
        <v/>
      </c>
      <c r="AB30" s="270" t="n">
        <v>1</v>
      </c>
      <c r="AC30" s="269">
        <f>ROUND(AA30/AB30,0)</f>
        <v/>
      </c>
      <c r="AD30" s="263" t="inlineStr">
        <is>
          <t>2026-04</t>
        </is>
      </c>
      <c r="AE30" s="264" t="n"/>
      <c r="AF30" s="264" t="n"/>
    </row>
    <row r="31" ht="15.75" customHeight="1">
      <c r="A31" s="263" t="n">
        <v>27</v>
      </c>
      <c r="B31" s="263" t="inlineStr">
        <is>
          <t>CPO696-2</t>
        </is>
      </c>
      <c r="C31" s="263" t="inlineStr">
        <is>
          <t>Christie</t>
        </is>
      </c>
      <c r="D31" s="263" t="inlineStr">
        <is>
          <t>Net 45 days</t>
        </is>
      </c>
      <c r="E31" s="263" t="inlineStr">
        <is>
          <t>장비</t>
        </is>
      </c>
      <c r="F31" s="264" t="n">
        <v>46113</v>
      </c>
      <c r="G31" s="264" t="n">
        <v>46171</v>
      </c>
      <c r="H31" s="265" t="n">
        <v>8140</v>
      </c>
      <c r="I31" s="266" t="n">
        <v>1502.7</v>
      </c>
      <c r="J31" s="267" t="n">
        <v>12231978</v>
      </c>
      <c r="K31" s="267" t="n">
        <v>12231978</v>
      </c>
      <c r="L31" s="267" t="n">
        <v>1001</v>
      </c>
      <c r="M31" s="267" t="n">
        <v>641</v>
      </c>
      <c r="N31" s="263" t="inlineStr">
        <is>
          <t>SMC Chiller HRS-040 외</t>
        </is>
      </c>
      <c r="O31" s="264" t="n">
        <v>46132</v>
      </c>
      <c r="P31" s="263" t="inlineStr">
        <is>
          <t>14008-26-101129M</t>
        </is>
      </c>
      <c r="Q31" s="268">
        <f>IF(P31="","",IFERROR(VLOOKUP(O31,FxRateTable,4,TRUE),""))</f>
        <v/>
      </c>
      <c r="R31" s="265">
        <f>IF(P31="","",H31)</f>
        <v/>
      </c>
      <c r="S31" s="267" t="n">
        <v>1019820</v>
      </c>
      <c r="T31" s="267" t="n">
        <v>1376760</v>
      </c>
      <c r="U31" s="264" t="n"/>
      <c r="V31" s="263" t="inlineStr">
        <is>
          <t>조운관세사무소</t>
        </is>
      </c>
      <c r="W31" s="267" t="n">
        <v>33000</v>
      </c>
      <c r="X31" s="263" t="inlineStr">
        <is>
          <t>진로직스</t>
        </is>
      </c>
      <c r="Y31" s="267" t="n">
        <v>846621</v>
      </c>
      <c r="Z31" s="267">
        <f>S31+W31</f>
        <v/>
      </c>
      <c r="AA31" s="269">
        <f>K31+L31+M31+IFERROR(VLOOKUP(B31,RemitTable2,9,FALSE),0)+Y31+Z31</f>
        <v/>
      </c>
      <c r="AB31" s="270" t="n">
        <v>1</v>
      </c>
      <c r="AC31" s="269">
        <f>ROUND(AA31/AB31,0)</f>
        <v/>
      </c>
      <c r="AD31" s="263" t="inlineStr">
        <is>
          <t>2026-04</t>
        </is>
      </c>
      <c r="AE31" s="264" t="n"/>
      <c r="AF31" s="264" t="n"/>
    </row>
    <row r="32" ht="15.75" customHeight="1">
      <c r="A32" s="271" t="n">
        <v>28</v>
      </c>
      <c r="B32" s="271" t="inlineStr">
        <is>
          <t>GPO473-1</t>
        </is>
      </c>
      <c r="C32" s="271" t="inlineStr">
        <is>
          <t>GDC</t>
        </is>
      </c>
      <c r="D32" s="271" t="inlineStr">
        <is>
          <t>Net 30 days</t>
        </is>
      </c>
      <c r="E32" s="271" t="inlineStr">
        <is>
          <t>장비</t>
        </is>
      </c>
      <c r="F32" s="272" t="n">
        <v>46113</v>
      </c>
      <c r="G32" s="272" t="n">
        <v>46171</v>
      </c>
      <c r="H32" s="273" t="n">
        <v>98800</v>
      </c>
      <c r="I32" s="274" t="n">
        <v>1502.8</v>
      </c>
      <c r="J32" s="275" t="n">
        <v>148476640</v>
      </c>
      <c r="K32" s="275" t="n">
        <v>148476640</v>
      </c>
      <c r="L32" s="275" t="n">
        <v>12457</v>
      </c>
      <c r="M32" s="275" t="n">
        <v>7973</v>
      </c>
      <c r="N32" s="271" t="n"/>
      <c r="O32" s="272" t="n">
        <v>46146</v>
      </c>
      <c r="P32" s="271" t="inlineStr">
        <is>
          <t>14008-26-101148M</t>
        </is>
      </c>
      <c r="Q32" s="276">
        <f>IF(P32="","",IFERROR(VLOOKUP(O32,FxRateTable,4,TRUE),""))</f>
        <v/>
      </c>
      <c r="R32" s="273">
        <f>IF(P32="","",H32)</f>
        <v/>
      </c>
      <c r="S32" s="275" t="n">
        <v>0</v>
      </c>
      <c r="T32" s="275" t="n">
        <v>14902330</v>
      </c>
      <c r="U32" s="272" t="n"/>
      <c r="V32" s="271" t="inlineStr">
        <is>
          <t>조운관세사무소</t>
        </is>
      </c>
      <c r="W32" s="275" t="n">
        <v>250000</v>
      </c>
      <c r="X32" s="271" t="inlineStr">
        <is>
          <t>조운관세사무소</t>
        </is>
      </c>
      <c r="Y32" s="275" t="n">
        <v>3636072</v>
      </c>
      <c r="Z32" s="275">
        <f>S32+W32</f>
        <v/>
      </c>
      <c r="AA32" s="277">
        <f>K32+L32+M32+IFERROR(VLOOKUP(B32,RemitTable2,9,FALSE),0)+Y32+Z32</f>
        <v/>
      </c>
      <c r="AB32" s="278" t="n">
        <v>20</v>
      </c>
      <c r="AC32" s="277">
        <f>ROUND(AA32/AB32,0)</f>
        <v/>
      </c>
      <c r="AD32" s="271" t="inlineStr">
        <is>
          <t>2026-05</t>
        </is>
      </c>
      <c r="AE32" s="272" t="n"/>
      <c r="AF32" s="272" t="n"/>
    </row>
    <row r="33" ht="15.75" customHeight="1">
      <c r="A33" s="152" t="n">
        <v>29</v>
      </c>
      <c r="B33" s="152" t="inlineStr">
        <is>
          <t>GPO473-2</t>
        </is>
      </c>
      <c r="C33" s="245" t="inlineStr">
        <is>
          <t>GDC</t>
        </is>
      </c>
      <c r="D33" s="152" t="inlineStr">
        <is>
          <t>Net 30 days</t>
        </is>
      </c>
      <c r="E33" s="245" t="inlineStr">
        <is>
          <t>장비</t>
        </is>
      </c>
      <c r="F33" s="246" t="n">
        <v>46113</v>
      </c>
      <c r="G33" s="247" t="n">
        <v>46183</v>
      </c>
      <c r="H33" s="151" t="n">
        <v>69160</v>
      </c>
      <c r="I33" s="248" t="n">
        <v>1525.3</v>
      </c>
      <c r="J33" s="159" t="n">
        <v>105489748</v>
      </c>
      <c r="K33" s="159" t="n">
        <v>105489748</v>
      </c>
      <c r="L33" s="159" t="n">
        <v>7261</v>
      </c>
      <c r="M33" s="159" t="n">
        <v>4647</v>
      </c>
      <c r="N33" s="152" t="inlineStr">
        <is>
          <t>SR-1000 (4K) Standalone IMB / 14 SET</t>
        </is>
      </c>
      <c r="O33" s="247" t="n">
        <v>46155</v>
      </c>
      <c r="P33" s="152" t="inlineStr">
        <is>
          <t>14008-26-101170M</t>
        </is>
      </c>
      <c r="Q33" s="249">
        <f>IF(P33="","",IFERROR(VLOOKUP(O33,FxRateTable,4,TRUE),""))</f>
        <v/>
      </c>
      <c r="R33" s="151">
        <f>IF(P33="","",H33)</f>
        <v/>
      </c>
      <c r="S33" s="159" t="n">
        <v>0</v>
      </c>
      <c r="T33" s="159" t="n">
        <v>14809460</v>
      </c>
      <c r="U33" s="246" t="n"/>
      <c r="V33" s="152" t="inlineStr">
        <is>
          <t>조운관세사무소</t>
        </is>
      </c>
      <c r="W33" s="159" t="n">
        <v>250000</v>
      </c>
      <c r="X33" s="245" t="inlineStr">
        <is>
          <t>진로직스</t>
        </is>
      </c>
      <c r="Y33" s="159" t="n">
        <v>3759954</v>
      </c>
      <c r="Z33" s="159">
        <f>S33+W33</f>
        <v/>
      </c>
      <c r="AA33" s="250">
        <f>K33+L33+M33+IFERROR(VLOOKUP(B33,RemitTable2,9,FALSE),0)+Y33+Z33</f>
        <v/>
      </c>
      <c r="AB33" s="251" t="n">
        <v>14</v>
      </c>
      <c r="AC33" s="250">
        <f>ROUND(AA33/AB33,0)</f>
        <v/>
      </c>
      <c r="AD33" s="152" t="inlineStr">
        <is>
          <t>2026-05</t>
        </is>
      </c>
      <c r="AE33" s="247" t="n"/>
      <c r="AF33" s="246" t="n"/>
    </row>
    <row r="34" ht="15.75" customHeight="1">
      <c r="A34" s="152" t="n">
        <v>30</v>
      </c>
      <c r="B34" s="152" t="inlineStr">
        <is>
          <t>GPO473-3</t>
        </is>
      </c>
      <c r="C34" s="245" t="inlineStr">
        <is>
          <t>GDC</t>
        </is>
      </c>
      <c r="D34" s="152" t="inlineStr">
        <is>
          <t>Net 30 days</t>
        </is>
      </c>
      <c r="E34" s="245" t="inlineStr">
        <is>
          <t>장비</t>
        </is>
      </c>
      <c r="F34" s="246" t="n">
        <v>46113</v>
      </c>
      <c r="G34" s="247" t="n">
        <v>46183</v>
      </c>
      <c r="H34" s="151" t="n">
        <v>49400</v>
      </c>
      <c r="I34" s="248" t="n">
        <v>1525.3</v>
      </c>
      <c r="J34" s="159" t="n">
        <v>75349820</v>
      </c>
      <c r="K34" s="159" t="n">
        <v>75349820</v>
      </c>
      <c r="L34" s="159" t="n">
        <v>5187</v>
      </c>
      <c r="M34" s="159" t="n">
        <v>3319</v>
      </c>
      <c r="N34" s="152" t="inlineStr">
        <is>
          <t>SR-1000 (4K) Standalone IMB / 10 SET</t>
        </is>
      </c>
      <c r="O34" s="247" t="n">
        <v>46162</v>
      </c>
      <c r="P34" s="152" t="inlineStr">
        <is>
          <t>14008-26-101191M</t>
        </is>
      </c>
      <c r="Q34" s="249">
        <f>IF(P34="","",IFERROR(VLOOKUP(O34,FxRateTable,4,TRUE),""))</f>
        <v/>
      </c>
      <c r="R34" s="151">
        <f>IF(P34="","",H34)</f>
        <v/>
      </c>
      <c r="S34" s="159" t="n">
        <v>0</v>
      </c>
      <c r="T34" s="159" t="n">
        <v>7510210</v>
      </c>
      <c r="U34" s="246" t="n"/>
      <c r="V34" s="152" t="inlineStr">
        <is>
          <t>조운관세사무소</t>
        </is>
      </c>
      <c r="W34" s="159" t="n">
        <v>250000</v>
      </c>
      <c r="X34" s="245" t="inlineStr">
        <is>
          <t>진로직스</t>
        </is>
      </c>
      <c r="Y34" s="159" t="n">
        <v>2259958</v>
      </c>
      <c r="Z34" s="159">
        <f>S34+W34</f>
        <v/>
      </c>
      <c r="AA34" s="250">
        <f>K34+L34+M34+IFERROR(VLOOKUP(B34,RemitTable2,9,FALSE),0)+Y34+Z34</f>
        <v/>
      </c>
      <c r="AB34" s="251" t="n">
        <v>10</v>
      </c>
      <c r="AC34" s="250">
        <f>ROUND(AA34/AB34,0)</f>
        <v/>
      </c>
      <c r="AD34" s="152" t="inlineStr">
        <is>
          <t>2026-05</t>
        </is>
      </c>
      <c r="AE34" s="247" t="n"/>
      <c r="AF34" s="246" t="n"/>
    </row>
    <row r="35" ht="15.75" customHeight="1">
      <c r="A35" s="271" t="n">
        <v>31</v>
      </c>
      <c r="B35" s="271" t="inlineStr">
        <is>
          <t>CPO696-3</t>
        </is>
      </c>
      <c r="C35" s="271" t="inlineStr">
        <is>
          <t>Christie</t>
        </is>
      </c>
      <c r="D35" s="271" t="inlineStr">
        <is>
          <t>Net 45 days</t>
        </is>
      </c>
      <c r="E35" s="271" t="inlineStr">
        <is>
          <t>장비</t>
        </is>
      </c>
      <c r="F35" s="272" t="n">
        <v>46127</v>
      </c>
      <c r="G35" s="272" t="n">
        <v>46190</v>
      </c>
      <c r="H35" s="273" t="n">
        <v>351274</v>
      </c>
      <c r="I35" s="274" t="n">
        <v>1518</v>
      </c>
      <c r="J35" s="275" t="n">
        <v>533233932</v>
      </c>
      <c r="K35" s="275" t="n">
        <v>533233932</v>
      </c>
      <c r="L35" s="275" t="n">
        <v>12500</v>
      </c>
      <c r="M35" s="275" t="n">
        <v>8000</v>
      </c>
      <c r="N35" s="271" t="n"/>
      <c r="O35" s="272" t="n">
        <v>46141</v>
      </c>
      <c r="P35" s="271" t="inlineStr">
        <is>
          <t>14008-26-101140M</t>
        </is>
      </c>
      <c r="Q35" s="276">
        <f>IF(P35="","",IFERROR(VLOOKUP(O35,FxRateTable,4,TRUE),""))</f>
        <v/>
      </c>
      <c r="R35" s="273">
        <f>IF(P35="","",H35)</f>
        <v/>
      </c>
      <c r="S35" s="275" t="n">
        <v>522900</v>
      </c>
      <c r="T35" s="275" t="n">
        <v>52140300</v>
      </c>
      <c r="U35" s="272" t="n"/>
      <c r="V35" s="271" t="inlineStr">
        <is>
          <t>조운관세사무소</t>
        </is>
      </c>
      <c r="W35" s="275" t="n">
        <v>250000</v>
      </c>
      <c r="X35" s="271" t="inlineStr">
        <is>
          <t>조운관세사무소</t>
        </is>
      </c>
      <c r="Y35" s="275" t="n">
        <v>3103207</v>
      </c>
      <c r="Z35" s="275">
        <f>S35+W35</f>
        <v/>
      </c>
      <c r="AA35" s="277">
        <f>K35+L35+M35+IFERROR(VLOOKUP(B35,RemitTable2,9,FALSE),0)+Y35+Z35</f>
        <v/>
      </c>
      <c r="AB35" s="278" t="n">
        <v>8</v>
      </c>
      <c r="AC35" s="277">
        <f>ROUND(AA35/AB35,0)</f>
        <v/>
      </c>
      <c r="AD35" s="271" t="inlineStr">
        <is>
          <t>2026-04</t>
        </is>
      </c>
      <c r="AE35" s="272" t="n"/>
      <c r="AF35" s="272" t="n"/>
    </row>
    <row r="36" ht="15.75" customHeight="1">
      <c r="A36" s="271" t="n">
        <v>32</v>
      </c>
      <c r="B36" s="271" t="inlineStr">
        <is>
          <t>GPO479</t>
        </is>
      </c>
      <c r="C36" s="271" t="inlineStr">
        <is>
          <t>GDC</t>
        </is>
      </c>
      <c r="D36" s="271" t="inlineStr">
        <is>
          <t>Net 30 days</t>
        </is>
      </c>
      <c r="E36" s="271" t="inlineStr">
        <is>
          <t>부품(Fan)</t>
        </is>
      </c>
      <c r="F36" s="272" t="n">
        <v>46127</v>
      </c>
      <c r="G36" s="272" t="n">
        <v>46171</v>
      </c>
      <c r="H36" s="273" t="n">
        <v>90</v>
      </c>
      <c r="I36" s="274" t="n">
        <v>1502.8</v>
      </c>
      <c r="J36" s="275" t="n">
        <v>135252</v>
      </c>
      <c r="K36" s="275" t="n">
        <v>135252</v>
      </c>
      <c r="L36" s="275" t="n">
        <v>11</v>
      </c>
      <c r="M36" s="275" t="n">
        <v>7</v>
      </c>
      <c r="N36" s="271" t="n"/>
      <c r="O36" s="272" t="n"/>
      <c r="P36" s="271" t="n"/>
      <c r="Q36" s="276">
        <f>IF(P36="","",IFERROR(VLOOKUP(O36,FxRateTable,4,TRUE),""))</f>
        <v/>
      </c>
      <c r="R36" s="273">
        <f>IF(P36="","",H36)</f>
        <v/>
      </c>
      <c r="S36" s="275" t="n">
        <v>0</v>
      </c>
      <c r="T36" s="275" t="n">
        <v>0</v>
      </c>
      <c r="U36" s="272" t="n"/>
      <c r="V36" s="271" t="n"/>
      <c r="W36" s="275" t="n">
        <v>0</v>
      </c>
      <c r="X36" s="271" t="inlineStr">
        <is>
          <t>FedEx</t>
        </is>
      </c>
      <c r="Y36" s="275" t="n">
        <v>48920</v>
      </c>
      <c r="Z36" s="275">
        <f>S36+W36</f>
        <v/>
      </c>
      <c r="AA36" s="277">
        <f>K36+L36+M36+IFERROR(VLOOKUP(B36,RemitTable2,9,FALSE),0)+Y36+Z36</f>
        <v/>
      </c>
      <c r="AB36" s="278" t="n">
        <v>1</v>
      </c>
      <c r="AC36" s="277">
        <f>ROUND(AA36/AB36,0)</f>
        <v/>
      </c>
      <c r="AD36" s="271" t="n"/>
      <c r="AE36" s="272" t="n"/>
      <c r="AF36" s="272" t="n"/>
    </row>
    <row r="37" ht="15.75" customHeight="1">
      <c r="A37" s="263" t="n">
        <v>33</v>
      </c>
      <c r="B37" s="263" t="inlineStr">
        <is>
          <t>EPO18</t>
        </is>
      </c>
      <c r="C37" s="263" t="inlineStr">
        <is>
          <t>MAICO Italia</t>
        </is>
      </c>
      <c r="D37" s="263" t="inlineStr">
        <is>
          <t>100% TT in advance</t>
        </is>
      </c>
      <c r="E37" s="263" t="inlineStr">
        <is>
          <t>부품</t>
        </is>
      </c>
      <c r="F37" s="264" t="n">
        <v>46132</v>
      </c>
      <c r="G37" s="264" t="n">
        <v>46134</v>
      </c>
      <c r="H37" s="265" t="n">
        <v>4388.4</v>
      </c>
      <c r="I37" s="266" t="n">
        <v>1741.08</v>
      </c>
      <c r="J37" s="267" t="n">
        <v>7640555</v>
      </c>
      <c r="K37" s="267" t="n">
        <v>7640555</v>
      </c>
      <c r="L37" s="267" t="n">
        <v>10000</v>
      </c>
      <c r="M37" s="267" t="n">
        <v>8000</v>
      </c>
      <c r="N37" s="263" t="inlineStr">
        <is>
          <t>AXC 200 ELICENT VENTILATORE/FAN (60EA, EUR)</t>
        </is>
      </c>
      <c r="O37" s="264" t="n">
        <v>46230</v>
      </c>
      <c r="P37" s="263" t="inlineStr">
        <is>
          <t>14008-26-101205M</t>
        </is>
      </c>
      <c r="Q37" s="268" t="n">
        <v>1686.2</v>
      </c>
      <c r="R37" s="265">
        <f>IF(P37="","",H37)</f>
        <v/>
      </c>
      <c r="S37" s="267" t="n">
        <v>0</v>
      </c>
      <c r="T37" s="267" t="n">
        <v>814230</v>
      </c>
      <c r="U37" s="264" t="n"/>
      <c r="V37" s="263" t="inlineStr">
        <is>
          <t>조운관세사무소</t>
        </is>
      </c>
      <c r="W37" s="267" t="n">
        <v>33000</v>
      </c>
      <c r="X37" s="263" t="inlineStr">
        <is>
          <t>진로직스</t>
        </is>
      </c>
      <c r="Y37" s="267" t="n">
        <v>1338545</v>
      </c>
      <c r="Z37" s="267">
        <f>S37+W37</f>
        <v/>
      </c>
      <c r="AA37" s="269">
        <f>K37+L37+M37+IFERROR(VLOOKUP(B37,RemitTable2,9,FALSE),0)+Y37+Z37</f>
        <v/>
      </c>
      <c r="AB37" s="270" t="n">
        <v>60</v>
      </c>
      <c r="AC37" s="269">
        <f>ROUND(AA37/AB37,0)</f>
        <v/>
      </c>
      <c r="AD37" s="263" t="inlineStr">
        <is>
          <t>2026-07</t>
        </is>
      </c>
      <c r="AE37" s="264" t="n"/>
      <c r="AF37" s="264" t="n"/>
    </row>
    <row r="38" ht="15.75" customHeight="1">
      <c r="A38" s="271" t="n">
        <v>34</v>
      </c>
      <c r="B38" s="271" t="inlineStr">
        <is>
          <t>CPO696-4</t>
        </is>
      </c>
      <c r="C38" s="271" t="inlineStr">
        <is>
          <t>Christie</t>
        </is>
      </c>
      <c r="D38" s="271" t="inlineStr">
        <is>
          <t>Net 45 days</t>
        </is>
      </c>
      <c r="E38" s="271" t="inlineStr">
        <is>
          <t>장비</t>
        </is>
      </c>
      <c r="F38" s="272" t="n">
        <v>46143</v>
      </c>
      <c r="G38" s="272" t="n">
        <v>46280</v>
      </c>
      <c r="H38" s="273" t="n">
        <v>807233</v>
      </c>
      <c r="I38" s="274" t="n">
        <v>1364.1</v>
      </c>
      <c r="J38" s="275" t="n">
        <v>68205000</v>
      </c>
      <c r="K38" s="275" t="n">
        <v>68205000</v>
      </c>
      <c r="L38" s="275" t="n">
        <v>1584</v>
      </c>
      <c r="M38" s="275" t="n">
        <v>1014</v>
      </c>
      <c r="N38" s="271" t="n"/>
      <c r="O38" s="272" t="n">
        <v>46157</v>
      </c>
      <c r="P38" s="271" t="inlineStr">
        <is>
          <t>14008-26-101168M</t>
        </is>
      </c>
      <c r="Q38" s="276">
        <f>IF(P38="","",IFERROR(VLOOKUP(O38,FxRateTable,4,TRUE),""))</f>
        <v/>
      </c>
      <c r="R38" s="273">
        <f>IF(P38="","",H38)</f>
        <v/>
      </c>
      <c r="S38" s="275" t="n">
        <v>1229900</v>
      </c>
      <c r="T38" s="275" t="n">
        <v>118665800</v>
      </c>
      <c r="U38" s="272" t="n"/>
      <c r="V38" s="271" t="inlineStr">
        <is>
          <t>조운관세사무소</t>
        </is>
      </c>
      <c r="W38" s="275" t="n">
        <v>250000</v>
      </c>
      <c r="X38" s="271" t="inlineStr">
        <is>
          <t>조운관세사무소</t>
        </is>
      </c>
      <c r="Y38" s="275" t="n">
        <v>3270326</v>
      </c>
      <c r="Z38" s="275">
        <f>S38+W38</f>
        <v/>
      </c>
      <c r="AA38" s="277">
        <f>K38+L38+M38+IFERROR(VLOOKUP(B38,RemitTable2,9,FALSE),0)+Y38+Z38</f>
        <v/>
      </c>
      <c r="AB38" s="278" t="n">
        <v>19</v>
      </c>
      <c r="AC38" s="277">
        <f>ROUND(AA38/AB38,0)</f>
        <v/>
      </c>
      <c r="AD38" s="271" t="inlineStr">
        <is>
          <t>2026-05</t>
        </is>
      </c>
      <c r="AE38" s="272" t="n"/>
      <c r="AF38" s="272" t="n"/>
    </row>
    <row r="39" ht="15.75" customHeight="1">
      <c r="A39" s="271" t="n">
        <v>35</v>
      </c>
      <c r="B39" s="271" t="inlineStr">
        <is>
          <t>CPO699</t>
        </is>
      </c>
      <c r="C39" s="271" t="inlineStr">
        <is>
          <t>Christie</t>
        </is>
      </c>
      <c r="D39" s="271" t="inlineStr">
        <is>
          <t>Net 45 days</t>
        </is>
      </c>
      <c r="E39" s="271" t="inlineStr">
        <is>
          <t>장비</t>
        </is>
      </c>
      <c r="F39" s="272" t="n">
        <v>46146</v>
      </c>
      <c r="G39" s="272" t="n">
        <v>46280</v>
      </c>
      <c r="H39" s="273" t="n">
        <v>294546</v>
      </c>
      <c r="I39" s="274" t="n">
        <v>1364.1</v>
      </c>
      <c r="J39" s="275" t="n">
        <v>401790199</v>
      </c>
      <c r="K39" s="275" t="n">
        <v>401790199</v>
      </c>
      <c r="L39" s="275" t="n">
        <v>9332</v>
      </c>
      <c r="M39" s="275" t="n">
        <v>5972</v>
      </c>
      <c r="N39" s="271" t="inlineStr">
        <is>
          <t>CP4415-RGB 4K Projector 7대 + ASSY Touch Screen Panel 14EA (롯데컬처웍스 렌탈)</t>
        </is>
      </c>
      <c r="O39" s="272" t="n">
        <v>46227</v>
      </c>
      <c r="P39" s="271" t="inlineStr">
        <is>
          <t>14008-26-101373M</t>
        </is>
      </c>
      <c r="Q39" s="276">
        <f>IF(P39="","",IFERROR(VLOOKUP(O39,FxRateTable,4,TRUE),""))</f>
        <v/>
      </c>
      <c r="R39" s="273">
        <f>IF(P39="","",H39)</f>
        <v/>
      </c>
      <c r="S39" s="275" t="n">
        <v>928560</v>
      </c>
      <c r="T39" s="275" t="n">
        <v>44412580</v>
      </c>
      <c r="U39" s="272" t="n"/>
      <c r="V39" s="271" t="inlineStr">
        <is>
          <t>조운관세사무소</t>
        </is>
      </c>
      <c r="W39" s="275" t="n">
        <v>289400</v>
      </c>
      <c r="X39" s="271" t="inlineStr">
        <is>
          <t>진로직스</t>
        </is>
      </c>
      <c r="Y39" s="275" t="n">
        <v>2630835</v>
      </c>
      <c r="Z39" s="275">
        <f>S39+W39</f>
        <v/>
      </c>
      <c r="AA39" s="277">
        <f>K39+L39+M39+IFERROR(VLOOKUP(B39,RemitTable2,9,FALSE),0)+Y39+Z39</f>
        <v/>
      </c>
      <c r="AB39" s="278" t="n">
        <v>7</v>
      </c>
      <c r="AC39" s="277">
        <f>ROUND(AA39/AB39,0)</f>
        <v/>
      </c>
      <c r="AD39" s="271" t="inlineStr">
        <is>
          <t>2026-07</t>
        </is>
      </c>
      <c r="AE39" s="272" t="inlineStr">
        <is>
          <t>-</t>
        </is>
      </c>
      <c r="AF39" s="272" t="inlineStr">
        <is>
          <t>-</t>
        </is>
      </c>
    </row>
    <row r="40" ht="15.75" customHeight="1">
      <c r="A40" s="271" t="n">
        <v>36</v>
      </c>
      <c r="B40" s="271" t="inlineStr">
        <is>
          <t>MPO67</t>
        </is>
      </c>
      <c r="C40" s="271" t="inlineStr">
        <is>
          <t>MAG</t>
        </is>
      </c>
      <c r="D40" s="271" t="inlineStr">
        <is>
          <t>T/T</t>
        </is>
      </c>
      <c r="E40" s="271" t="inlineStr">
        <is>
          <t>장비</t>
        </is>
      </c>
      <c r="F40" s="272" t="n">
        <v>46154</v>
      </c>
      <c r="G40" s="272" t="n">
        <v>46190</v>
      </c>
      <c r="H40" s="273" t="n">
        <v>49138.8</v>
      </c>
      <c r="I40" s="274" t="n">
        <v>1517.3</v>
      </c>
      <c r="J40" s="275" t="n">
        <v>74558301</v>
      </c>
      <c r="K40" s="275" t="n">
        <v>74558301</v>
      </c>
      <c r="L40" s="275" t="n">
        <v>10115</v>
      </c>
      <c r="M40" s="275" t="n">
        <v>6473</v>
      </c>
      <c r="N40" s="271" t="inlineStr">
        <is>
          <t>MAG 음향장비 loudspeakers 108EA (롯데컬처웍스)</t>
        </is>
      </c>
      <c r="O40" s="272" t="n">
        <v>46188</v>
      </c>
      <c r="P40" s="271" t="inlineStr">
        <is>
          <t>14008-26-101275M</t>
        </is>
      </c>
      <c r="Q40" s="276">
        <f>IF(P40="","",IFERROR(VLOOKUP(O40,FxRateTable,4,TRUE),""))</f>
        <v/>
      </c>
      <c r="R40" s="273">
        <f>IF(P40="","",H40)</f>
        <v/>
      </c>
      <c r="S40" s="275" t="n">
        <v>0</v>
      </c>
      <c r="T40" s="275" t="n">
        <v>8891915</v>
      </c>
      <c r="U40" s="272" t="n"/>
      <c r="V40" s="271" t="inlineStr">
        <is>
          <t>조운관세사무소</t>
        </is>
      </c>
      <c r="W40" s="275" t="n">
        <v>204725</v>
      </c>
      <c r="X40" s="271" t="inlineStr">
        <is>
          <t>진로직스</t>
        </is>
      </c>
      <c r="Y40" s="275" t="n">
        <v>14471173</v>
      </c>
      <c r="Z40" s="275">
        <f>S40+W40</f>
        <v/>
      </c>
      <c r="AA40" s="277">
        <f>K40+L40+M40+IFERROR(VLOOKUP(B40,RemitTable2,9,FALSE),0)+Y40+Z40</f>
        <v/>
      </c>
      <c r="AB40" s="278" t="n">
        <v>108</v>
      </c>
      <c r="AC40" s="277">
        <f>ROUND(AA40/AB40,0)</f>
        <v/>
      </c>
      <c r="AD40" s="271" t="inlineStr">
        <is>
          <t>2026-06</t>
        </is>
      </c>
      <c r="AE40" s="272" t="n"/>
      <c r="AF40" s="272" t="n"/>
    </row>
    <row r="41" ht="15.75" customHeight="1">
      <c r="A41" s="271" t="n">
        <v>37</v>
      </c>
      <c r="B41" s="271" t="inlineStr">
        <is>
          <t>MPO68</t>
        </is>
      </c>
      <c r="C41" s="271" t="inlineStr">
        <is>
          <t>MAG</t>
        </is>
      </c>
      <c r="D41" s="271" t="inlineStr">
        <is>
          <t>T/T</t>
        </is>
      </c>
      <c r="E41" s="271" t="inlineStr">
        <is>
          <t>장비</t>
        </is>
      </c>
      <c r="F41" s="272" t="n">
        <v>46154</v>
      </c>
      <c r="G41" s="272" t="n">
        <v>46190</v>
      </c>
      <c r="H41" s="273" t="n">
        <v>11587.2</v>
      </c>
      <c r="I41" s="274" t="n">
        <v>1517.3</v>
      </c>
      <c r="J41" s="275" t="n">
        <v>17581259</v>
      </c>
      <c r="K41" s="275" t="n">
        <v>17581259</v>
      </c>
      <c r="L41" s="275" t="n">
        <v>2385</v>
      </c>
      <c r="M41" s="275" t="n">
        <v>1527</v>
      </c>
      <c r="N41" s="271" t="inlineStr">
        <is>
          <t>MAG 음향장비 loudspeakers 29EA (CJ 미래원)</t>
        </is>
      </c>
      <c r="O41" s="272" t="n">
        <v>46188</v>
      </c>
      <c r="P41" s="271" t="inlineStr">
        <is>
          <t>14008-26-101275M</t>
        </is>
      </c>
      <c r="Q41" s="276">
        <f>IF(P41="","",IFERROR(VLOOKUP(O41,FxRateTable,4,TRUE),""))</f>
        <v/>
      </c>
      <c r="R41" s="273">
        <f>IF(P41="","",H41)</f>
        <v/>
      </c>
      <c r="S41" s="275" t="n">
        <v>0</v>
      </c>
      <c r="T41" s="275" t="n">
        <v>2096763</v>
      </c>
      <c r="U41" s="272" t="n"/>
      <c r="V41" s="271" t="inlineStr">
        <is>
          <t>조운관세사무소</t>
        </is>
      </c>
      <c r="W41" s="275" t="n">
        <v>48275</v>
      </c>
      <c r="X41" s="271" t="inlineStr">
        <is>
          <t>진로직스</t>
        </is>
      </c>
      <c r="Y41" s="275" t="n">
        <v>3412382</v>
      </c>
      <c r="Z41" s="275">
        <f>S41+W41</f>
        <v/>
      </c>
      <c r="AA41" s="277">
        <f>K41+L41+M41+IFERROR(VLOOKUP(B41,RemitTable2,9,FALSE),0)+Y41+Z41</f>
        <v/>
      </c>
      <c r="AB41" s="278" t="n">
        <v>29</v>
      </c>
      <c r="AC41" s="277">
        <f>ROUND(AA41/AB41,0)</f>
        <v/>
      </c>
      <c r="AD41" s="271" t="inlineStr">
        <is>
          <t>2026-06</t>
        </is>
      </c>
      <c r="AE41" s="272" t="n"/>
      <c r="AF41" s="272" t="n"/>
    </row>
    <row r="42" ht="15.75" customHeight="1">
      <c r="A42" s="271" t="n">
        <v>38</v>
      </c>
      <c r="B42" s="271" t="inlineStr">
        <is>
          <t>CPO696-5</t>
        </is>
      </c>
      <c r="C42" s="271" t="inlineStr">
        <is>
          <t>Christie</t>
        </is>
      </c>
      <c r="D42" s="271" t="inlineStr">
        <is>
          <t>Net 45 days</t>
        </is>
      </c>
      <c r="E42" s="271" t="inlineStr">
        <is>
          <t>장비</t>
        </is>
      </c>
      <c r="F42" s="272" t="n">
        <v>46163</v>
      </c>
      <c r="G42" s="272" t="n">
        <v>46280</v>
      </c>
      <c r="H42" s="273" t="n">
        <v>346792</v>
      </c>
      <c r="I42" s="274" t="n">
        <v>1364.1</v>
      </c>
      <c r="J42" s="275" t="n">
        <v>68205000</v>
      </c>
      <c r="K42" s="275" t="n">
        <v>68205000</v>
      </c>
      <c r="L42" s="275" t="n">
        <v>1584</v>
      </c>
      <c r="M42" s="275" t="n">
        <v>1014</v>
      </c>
      <c r="N42" s="271" t="inlineStr">
        <is>
          <t>CP4420-RGB 4K Projector 8대 + TPC Touch 8 (롯데 렌탈 4차)</t>
        </is>
      </c>
      <c r="O42" s="272" t="n">
        <v>46177</v>
      </c>
      <c r="P42" s="271" t="inlineStr">
        <is>
          <t>14008-26-101227M</t>
        </is>
      </c>
      <c r="Q42" s="276">
        <f>IF(P42="","",IFERROR(VLOOKUP(O42,FxRateTable,4,TRUE),""))</f>
        <v/>
      </c>
      <c r="R42" s="273">
        <f>IF(P42="","",H42)</f>
        <v/>
      </c>
      <c r="S42" s="275" t="n">
        <v>533676</v>
      </c>
      <c r="T42" s="275" t="n">
        <v>52536040</v>
      </c>
      <c r="U42" s="272" t="n"/>
      <c r="V42" s="271" t="inlineStr">
        <is>
          <t>조운관세사무소</t>
        </is>
      </c>
      <c r="W42" s="275" t="n">
        <v>286000</v>
      </c>
      <c r="X42" s="271" t="inlineStr">
        <is>
          <t>진로직스</t>
        </is>
      </c>
      <c r="Y42" s="275" t="n">
        <v>2898404</v>
      </c>
      <c r="Z42" s="275">
        <f>S42+W42</f>
        <v/>
      </c>
      <c r="AA42" s="277">
        <f>K42+L42+M42+IFERROR(VLOOKUP(B42,RemitTable2,9,FALSE),0)+Y42+Z42</f>
        <v/>
      </c>
      <c r="AB42" s="278" t="n">
        <v>8</v>
      </c>
      <c r="AC42" s="277">
        <f>ROUND(AA42/AB42,0)</f>
        <v/>
      </c>
      <c r="AD42" s="271" t="inlineStr">
        <is>
          <t>2026-06</t>
        </is>
      </c>
      <c r="AE42" s="272" t="n"/>
      <c r="AF42" s="272" t="n"/>
    </row>
    <row r="43" ht="15.75" customHeight="1">
      <c r="A43" s="271" t="n">
        <v>39</v>
      </c>
      <c r="B43" s="271" t="inlineStr">
        <is>
          <t>APO001</t>
        </is>
      </c>
      <c r="C43" s="271" t="inlineStr">
        <is>
          <t>Appotronics</t>
        </is>
      </c>
      <c r="D43" s="271" t="inlineStr">
        <is>
          <t>100% TT in advance</t>
        </is>
      </c>
      <c r="E43" s="271" t="inlineStr">
        <is>
          <t>부품</t>
        </is>
      </c>
      <c r="F43" s="272" t="n">
        <v>46163</v>
      </c>
      <c r="G43" s="272" t="n">
        <v>46190</v>
      </c>
      <c r="H43" s="273" t="n">
        <v>12400</v>
      </c>
      <c r="I43" s="274" t="n">
        <v>1517.1</v>
      </c>
      <c r="J43" s="275" t="n">
        <v>18812040</v>
      </c>
      <c r="K43" s="275" t="n">
        <v>18812040</v>
      </c>
      <c r="L43" s="275" t="n">
        <v>10000</v>
      </c>
      <c r="M43" s="275" t="n">
        <v>8000</v>
      </c>
      <c r="N43" s="271" t="inlineStr">
        <is>
          <t>S20-C2220-BEAB 레이저모듈 2set (CP2220)</t>
        </is>
      </c>
      <c r="O43" s="272" t="n">
        <v>46202</v>
      </c>
      <c r="P43" s="271" t="inlineStr">
        <is>
          <t>14008-26-101317M</t>
        </is>
      </c>
      <c r="Q43" s="276">
        <f>IF(P43="","",IFERROR(VLOOKUP(O43,FxRateTable,4,TRUE),""))</f>
        <v/>
      </c>
      <c r="R43" s="273">
        <f>IF(P43="","",H43)</f>
        <v/>
      </c>
      <c r="S43" s="275" t="n">
        <v>0</v>
      </c>
      <c r="T43" s="275" t="n">
        <v>1959600</v>
      </c>
      <c r="U43" s="272" t="n">
        <v>46202</v>
      </c>
      <c r="V43" s="271" t="inlineStr">
        <is>
          <t>조운관세사무소</t>
        </is>
      </c>
      <c r="W43" s="275" t="n">
        <v>43010</v>
      </c>
      <c r="X43" s="271" t="inlineStr">
        <is>
          <t>진로직스</t>
        </is>
      </c>
      <c r="Y43" s="275" t="n">
        <v>692650</v>
      </c>
      <c r="Z43" s="275">
        <f>S43+W43</f>
        <v/>
      </c>
      <c r="AA43" s="277">
        <f>K43+L43+M43+IFERROR(VLOOKUP(B43,RemitTable2,9,FALSE),0)+Y43+Z43</f>
        <v/>
      </c>
      <c r="AB43" s="278" t="n">
        <v>2</v>
      </c>
      <c r="AC43" s="277">
        <f>ROUND(AA43/AB43,0)</f>
        <v/>
      </c>
      <c r="AD43" s="271" t="inlineStr">
        <is>
          <t>2026-06</t>
        </is>
      </c>
      <c r="AE43" s="272" t="n"/>
      <c r="AF43" s="272" t="n"/>
    </row>
    <row r="44" ht="15.75" customHeight="1">
      <c r="A44" s="271" t="n">
        <v>40</v>
      </c>
      <c r="B44" s="271" t="inlineStr">
        <is>
          <t>GPO483</t>
        </is>
      </c>
      <c r="C44" s="271" t="inlineStr">
        <is>
          <t>GDC</t>
        </is>
      </c>
      <c r="D44" s="271" t="inlineStr">
        <is>
          <t>Net 30 days</t>
        </is>
      </c>
      <c r="E44" s="271" t="inlineStr">
        <is>
          <t>장비</t>
        </is>
      </c>
      <c r="F44" s="272" t="n">
        <v>46174</v>
      </c>
      <c r="G44" s="272" t="inlineStr">
        <is>
          <t>-</t>
        </is>
      </c>
      <c r="H44" s="273" t="n">
        <v>14730</v>
      </c>
      <c r="I44" s="274" t="n">
        <v>0</v>
      </c>
      <c r="J44" s="275" t="n">
        <v>0</v>
      </c>
      <c r="K44" s="275" t="n">
        <v>0</v>
      </c>
      <c r="L44" s="275" t="n">
        <v>0</v>
      </c>
      <c r="M44" s="275" t="n">
        <v>0</v>
      </c>
      <c r="N44" s="271" t="inlineStr">
        <is>
          <t>AIB-3000 Cinema Audio Processor 9EA (롯데 인천검단 6 / CJ미래원 1 / RNR 2)</t>
        </is>
      </c>
      <c r="O44" s="272" t="n">
        <v>46188</v>
      </c>
      <c r="P44" s="271" t="inlineStr">
        <is>
          <t>23176-26-472403M</t>
        </is>
      </c>
      <c r="Q44" s="276">
        <f>IF(P44="","",IFERROR(VLOOKUP(O44,FxRateTable,4,TRUE),""))</f>
        <v/>
      </c>
      <c r="R44" s="273">
        <f>IF(P44="","",H44)</f>
        <v/>
      </c>
      <c r="S44" s="275" t="n">
        <v>0</v>
      </c>
      <c r="T44" s="275" t="n">
        <v>2281387</v>
      </c>
      <c r="U44" s="272" t="n"/>
      <c r="V44" s="271" t="inlineStr">
        <is>
          <t>스타합동관세사무소</t>
        </is>
      </c>
      <c r="W44" s="275" t="n">
        <v>0</v>
      </c>
      <c r="X44" s="271" t="inlineStr">
        <is>
          <t>Fedex</t>
        </is>
      </c>
      <c r="Y44" s="275" t="n">
        <v>593664</v>
      </c>
      <c r="Z44" s="275">
        <f>S44+W44</f>
        <v/>
      </c>
      <c r="AA44" s="277">
        <f>K44+L44+M44+IFERROR(VLOOKUP(B44,RemitTable2,9,FALSE),0)+Y44+Z44</f>
        <v/>
      </c>
      <c r="AB44" s="278" t="n">
        <v>9</v>
      </c>
      <c r="AC44" s="277">
        <f>ROUND(AA44/AB44,0)</f>
        <v/>
      </c>
      <c r="AD44" s="271" t="inlineStr">
        <is>
          <t>2026-06</t>
        </is>
      </c>
      <c r="AE44" s="272" t="n"/>
      <c r="AF44" s="272" t="n"/>
    </row>
    <row r="45" ht="15.75" customHeight="1">
      <c r="A45" s="271" t="n">
        <v>41</v>
      </c>
      <c r="B45" s="271" t="inlineStr">
        <is>
          <t>CPO701</t>
        </is>
      </c>
      <c r="C45" s="271" t="inlineStr">
        <is>
          <t>Christie</t>
        </is>
      </c>
      <c r="D45" s="271" t="inlineStr">
        <is>
          <t>Net 45 days</t>
        </is>
      </c>
      <c r="E45" s="271" t="inlineStr">
        <is>
          <t>부품(Fan)</t>
        </is>
      </c>
      <c r="F45" s="272" t="n">
        <v>46182</v>
      </c>
      <c r="G45" s="272" t="n">
        <v>46252</v>
      </c>
      <c r="H45" s="273" t="n">
        <v>54</v>
      </c>
      <c r="I45" s="274" t="n">
        <v>1417.1</v>
      </c>
      <c r="J45" s="275" t="n">
        <v>76523</v>
      </c>
      <c r="K45" s="275" t="n">
        <v>76523</v>
      </c>
      <c r="L45" s="275" t="n">
        <v>447</v>
      </c>
      <c r="M45" s="275" t="n">
        <v>715</v>
      </c>
      <c r="N45" s="271" t="inlineStr">
        <is>
          <t>ASSY FAN 12V 0.6A 4-Wire 92MM (2EA)</t>
        </is>
      </c>
      <c r="O45" s="272" t="n">
        <v>46216</v>
      </c>
      <c r="P45" s="271" t="inlineStr">
        <is>
          <t>23176-26-606930M</t>
        </is>
      </c>
      <c r="Q45" s="276">
        <f>IF(P45="","",IFERROR(VLOOKUP(O45,FxRateTable,4,TRUE),""))</f>
        <v/>
      </c>
      <c r="R45" s="273">
        <f>IF(P45="","",H45)</f>
        <v/>
      </c>
      <c r="S45" s="275" t="n">
        <v>6631</v>
      </c>
      <c r="T45" s="275" t="n">
        <v>8952</v>
      </c>
      <c r="U45" s="272" t="n"/>
      <c r="V45" s="271" t="inlineStr">
        <is>
          <t>스타합동관세사무소</t>
        </is>
      </c>
      <c r="W45" s="275" t="n">
        <v>0</v>
      </c>
      <c r="X45" s="271" t="inlineStr">
        <is>
          <t>Fedex</t>
        </is>
      </c>
      <c r="Y45" s="275" t="n">
        <v>2232</v>
      </c>
      <c r="Z45" s="275">
        <f>S45+W45</f>
        <v/>
      </c>
      <c r="AA45" s="277">
        <f>K45+L45+M45+IFERROR(VLOOKUP(B45,RemitTable2,9,FALSE),0)+Y45+Z45</f>
        <v/>
      </c>
      <c r="AB45" s="278" t="n">
        <v>2</v>
      </c>
      <c r="AC45" s="277">
        <f>ROUND(AA45/AB45,0)</f>
        <v/>
      </c>
      <c r="AD45" s="271" t="inlineStr">
        <is>
          <t>2026-07</t>
        </is>
      </c>
      <c r="AE45" s="272" t="inlineStr">
        <is>
          <t>-</t>
        </is>
      </c>
      <c r="AF45" s="272" t="inlineStr">
        <is>
          <t>-</t>
        </is>
      </c>
    </row>
    <row r="46" ht="15.75" customHeight="1">
      <c r="A46" s="271" t="n">
        <v>42</v>
      </c>
      <c r="B46" s="271" t="inlineStr">
        <is>
          <t>CPO703</t>
        </is>
      </c>
      <c r="C46" s="271" t="inlineStr">
        <is>
          <t>Christie</t>
        </is>
      </c>
      <c r="D46" s="271" t="inlineStr">
        <is>
          <t>Net 45 days</t>
        </is>
      </c>
      <c r="E46" s="271" t="inlineStr">
        <is>
          <t>부품(렌즈)</t>
        </is>
      </c>
      <c r="F46" s="272" t="n">
        <v>46197</v>
      </c>
      <c r="G46" s="272" t="n">
        <v>46265</v>
      </c>
      <c r="H46" s="273" t="n">
        <v>5445</v>
      </c>
      <c r="I46" s="274" t="n">
        <v>1374.2</v>
      </c>
      <c r="J46" s="275" t="n">
        <v>7482519</v>
      </c>
      <c r="K46" s="275" t="n">
        <v>7482519</v>
      </c>
      <c r="L46" s="275" t="n">
        <v>1961</v>
      </c>
      <c r="M46" s="275" t="n">
        <v>1255</v>
      </c>
      <c r="N46" s="271" t="inlineStr">
        <is>
          <t>Lens 0.83-1.21 .69" DLPCine Zoom MT (1EA)</t>
        </is>
      </c>
      <c r="O46" s="272" t="n">
        <v>46216</v>
      </c>
      <c r="P46" s="271" t="inlineStr">
        <is>
          <t>23176-26-606930M</t>
        </is>
      </c>
      <c r="Q46" s="276">
        <f>IF(P46="","",IFERROR(VLOOKUP(O46,FxRateTable,4,TRUE),""))</f>
        <v/>
      </c>
      <c r="R46" s="273">
        <f>IF(P46="","",H46)</f>
        <v/>
      </c>
      <c r="S46" s="275" t="n">
        <v>668679</v>
      </c>
      <c r="T46" s="275" t="n">
        <v>902728</v>
      </c>
      <c r="U46" s="272" t="n"/>
      <c r="V46" s="271" t="inlineStr">
        <is>
          <t>스타합동관세사무소</t>
        </is>
      </c>
      <c r="W46" s="275" t="n">
        <v>0</v>
      </c>
      <c r="X46" s="271" t="inlineStr">
        <is>
          <t>Fedex</t>
        </is>
      </c>
      <c r="Y46" s="275" t="n">
        <v>225078</v>
      </c>
      <c r="Z46" s="275">
        <f>S46+W46</f>
        <v/>
      </c>
      <c r="AA46" s="277">
        <f>K46+L46+M46+IFERROR(VLOOKUP(B46,RemitTable2,9,FALSE),0)+Y46+Z46</f>
        <v/>
      </c>
      <c r="AB46" s="278" t="n">
        <v>1</v>
      </c>
      <c r="AC46" s="277">
        <f>ROUND(AA46/AB46,0)</f>
        <v/>
      </c>
      <c r="AD46" s="271" t="inlineStr">
        <is>
          <t>2026-07</t>
        </is>
      </c>
      <c r="AE46" s="272" t="inlineStr">
        <is>
          <t>-</t>
        </is>
      </c>
      <c r="AF46" s="272" t="inlineStr">
        <is>
          <t>-</t>
        </is>
      </c>
    </row>
    <row r="47" ht="15.75" customHeight="1">
      <c r="A47" s="271" t="n">
        <v>43</v>
      </c>
      <c r="B47" s="271" t="inlineStr">
        <is>
          <t>MPO69</t>
        </is>
      </c>
      <c r="C47" s="271" t="inlineStr">
        <is>
          <t>MAG</t>
        </is>
      </c>
      <c r="D47" s="271" t="inlineStr">
        <is>
          <t>T/T</t>
        </is>
      </c>
      <c r="E47" s="271" t="inlineStr">
        <is>
          <t>장비</t>
        </is>
      </c>
      <c r="F47" s="272" t="n">
        <v>46206</v>
      </c>
      <c r="G47" s="272" t="n">
        <v>46265</v>
      </c>
      <c r="H47" s="273" t="n">
        <v>17529.8</v>
      </c>
      <c r="I47" s="274" t="n">
        <v>1374.5</v>
      </c>
      <c r="J47" s="275" t="n">
        <v>24094710</v>
      </c>
      <c r="K47" s="275" t="n">
        <v>24094710</v>
      </c>
      <c r="L47" s="275" t="n">
        <v>10000</v>
      </c>
      <c r="M47" s="275" t="n">
        <v>8000</v>
      </c>
      <c r="N47" s="271" t="inlineStr">
        <is>
          <t>MAG 음향장비 26EA (CGV 야탑: SCR-22M 3, SUB-428-44 5, SUR-103-16 12, DCO-8000 3, DCQ-3000 1, DCQ-4000 2)</t>
        </is>
      </c>
      <c r="O47" s="272" t="n">
        <v>46273</v>
      </c>
      <c r="P47" s="271" t="inlineStr">
        <is>
          <t>14008-26-101496M</t>
        </is>
      </c>
      <c r="Q47" s="276">
        <f>IF(P47="","",IFERROR(VLOOKUP(O47,FxRateTable,4,TRUE),""))</f>
        <v/>
      </c>
      <c r="R47" s="273">
        <f>IF(P47="","",H47)</f>
        <v/>
      </c>
      <c r="S47" s="275" t="n">
        <v>0</v>
      </c>
      <c r="T47" s="275" t="n">
        <v>2994600</v>
      </c>
      <c r="U47" s="272" t="n"/>
      <c r="V47" s="271" t="inlineStr">
        <is>
          <t>조운관세사무소</t>
        </is>
      </c>
      <c r="W47" s="275" t="n">
        <v>131780</v>
      </c>
      <c r="X47" s="271" t="inlineStr">
        <is>
          <t>진로직스</t>
        </is>
      </c>
      <c r="Y47" s="275" t="n">
        <v>6395260</v>
      </c>
      <c r="Z47" s="275">
        <f>S47+W47</f>
        <v/>
      </c>
      <c r="AA47" s="277">
        <f>K47+L47+M47+IFERROR(VLOOKUP(B47,RemitTable2,9,FALSE),0)+Y47+Z47</f>
        <v/>
      </c>
      <c r="AB47" s="278" t="n">
        <v>26</v>
      </c>
      <c r="AC47" s="277">
        <f>ROUND(AA47/AB47,0)</f>
        <v/>
      </c>
      <c r="AD47" s="271" t="inlineStr">
        <is>
          <t>2026-09</t>
        </is>
      </c>
      <c r="AE47" s="272" t="inlineStr">
        <is>
          <t>-</t>
        </is>
      </c>
      <c r="AF47" s="272" t="inlineStr">
        <is>
          <t>-</t>
        </is>
      </c>
    </row>
    <row r="48" ht="15.75" customHeight="1">
      <c r="A48" s="271" t="n">
        <v>44</v>
      </c>
      <c r="B48" s="271" t="inlineStr">
        <is>
          <t>CPO705-1</t>
        </is>
      </c>
      <c r="C48" s="271" t="inlineStr">
        <is>
          <t>Christie</t>
        </is>
      </c>
      <c r="D48" s="271" t="inlineStr">
        <is>
          <t>Net 45 days</t>
        </is>
      </c>
      <c r="E48" s="271" t="inlineStr">
        <is>
          <t>부품</t>
        </is>
      </c>
      <c r="F48" s="272" t="n">
        <v>46210</v>
      </c>
      <c r="G48" s="272" t="n">
        <v>46252</v>
      </c>
      <c r="H48" s="273" t="n">
        <v>280</v>
      </c>
      <c r="I48" s="274" t="n">
        <v>1417.1</v>
      </c>
      <c r="J48" s="275" t="n">
        <v>396788</v>
      </c>
      <c r="K48" s="275" t="n">
        <v>396788</v>
      </c>
      <c r="L48" s="275" t="n">
        <v>2318</v>
      </c>
      <c r="M48" s="275" t="n">
        <v>3709</v>
      </c>
      <c r="N48" s="271" t="inlineStr">
        <is>
          <t>Coolant Propylene Glycol 740 (10EA, CPO699 해상 동봉 선적)</t>
        </is>
      </c>
      <c r="O48" s="272" t="n">
        <v>46227</v>
      </c>
      <c r="P48" s="271" t="inlineStr">
        <is>
          <t>14008-26-101374M</t>
        </is>
      </c>
      <c r="Q48" s="276">
        <f>IF(P48="","",IFERROR(VLOOKUP(O48,FxRateTable,4,TRUE),""))</f>
        <v/>
      </c>
      <c r="R48" s="273">
        <f>IF(P48="","",H48)</f>
        <v/>
      </c>
      <c r="S48" s="275" t="n">
        <v>30970</v>
      </c>
      <c r="T48" s="275" t="n">
        <v>50750</v>
      </c>
      <c r="U48" s="272" t="n"/>
      <c r="V48" s="271" t="inlineStr">
        <is>
          <t>조운관세사무소</t>
        </is>
      </c>
      <c r="W48" s="275" t="n">
        <v>33000</v>
      </c>
      <c r="X48" s="271" t="inlineStr">
        <is>
          <t>진로직스</t>
        </is>
      </c>
      <c r="Y48" s="275" t="n">
        <v>128190</v>
      </c>
      <c r="Z48" s="275">
        <f>S48+W48</f>
        <v/>
      </c>
      <c r="AA48" s="277">
        <f>K48+L48+M48+IFERROR(VLOOKUP(B48,RemitTable2,9,FALSE),0)+Y48+Z48</f>
        <v/>
      </c>
      <c r="AB48" s="278" t="n">
        <v>10</v>
      </c>
      <c r="AC48" s="277">
        <f>ROUND(AA48/AB48,0)</f>
        <v/>
      </c>
      <c r="AD48" s="271" t="inlineStr">
        <is>
          <t>2026-07</t>
        </is>
      </c>
      <c r="AE48" s="272" t="inlineStr">
        <is>
          <t>-</t>
        </is>
      </c>
      <c r="AF48" s="272" t="inlineStr">
        <is>
          <t>-</t>
        </is>
      </c>
    </row>
    <row r="49" ht="15.75" customHeight="1">
      <c r="A49" s="271" t="n">
        <v>45</v>
      </c>
      <c r="B49" s="271" t="inlineStr">
        <is>
          <t>CPO705-2</t>
        </is>
      </c>
      <c r="C49" s="271" t="inlineStr">
        <is>
          <t>Christie</t>
        </is>
      </c>
      <c r="D49" s="271" t="inlineStr">
        <is>
          <t>Net 45 days</t>
        </is>
      </c>
      <c r="E49" s="271" t="inlineStr">
        <is>
          <t>부품(Fan)</t>
        </is>
      </c>
      <c r="F49" s="272" t="n">
        <v>46210</v>
      </c>
      <c r="G49" s="272" t="n">
        <v>46252</v>
      </c>
      <c r="H49" s="273" t="n">
        <v>270</v>
      </c>
      <c r="I49" s="274" t="n">
        <v>1417.1</v>
      </c>
      <c r="J49" s="275" t="n">
        <v>382617</v>
      </c>
      <c r="K49" s="275" t="n">
        <v>382617</v>
      </c>
      <c r="L49" s="275" t="n">
        <v>2235</v>
      </c>
      <c r="M49" s="275" t="n">
        <v>3576</v>
      </c>
      <c r="N49" s="271" t="inlineStr">
        <is>
          <t>ASSY Fan 12V 0.6A 4-Wire 92MM (10EA, FedEx 특송)</t>
        </is>
      </c>
      <c r="O49" s="272" t="n">
        <v>46224</v>
      </c>
      <c r="P49" s="271" t="inlineStr">
        <is>
          <t>23176-26-633456M</t>
        </is>
      </c>
      <c r="Q49" s="276">
        <f>IF(P49="","",IFERROR(VLOOKUP(O49,FxRateTable,4,TRUE),""))</f>
        <v/>
      </c>
      <c r="R49" s="273">
        <f>IF(P49="","",H49)</f>
        <v/>
      </c>
      <c r="S49" s="275" t="n">
        <v>35670</v>
      </c>
      <c r="T49" s="275" t="n">
        <v>48160</v>
      </c>
      <c r="U49" s="272" t="n"/>
      <c r="V49" s="271" t="inlineStr">
        <is>
          <t>스타합동관세사무소</t>
        </is>
      </c>
      <c r="W49" s="275" t="n">
        <v>0</v>
      </c>
      <c r="X49" s="271" t="inlineStr">
        <is>
          <t>Fedex</t>
        </is>
      </c>
      <c r="Y49" s="275" t="n">
        <v>134480</v>
      </c>
      <c r="Z49" s="275">
        <f>S49+W49</f>
        <v/>
      </c>
      <c r="AA49" s="277">
        <f>K49+L49+M49+IFERROR(VLOOKUP(B49,RemitTable2,9,FALSE),0)+Y49+Z49</f>
        <v/>
      </c>
      <c r="AB49" s="278" t="n">
        <v>10</v>
      </c>
      <c r="AC49" s="277">
        <f>ROUND(AA49/AB49,0)</f>
        <v/>
      </c>
      <c r="AD49" s="271" t="inlineStr">
        <is>
          <t>2026-07</t>
        </is>
      </c>
      <c r="AE49" s="272" t="inlineStr">
        <is>
          <t>-</t>
        </is>
      </c>
      <c r="AF49" s="272" t="inlineStr">
        <is>
          <t>-</t>
        </is>
      </c>
    </row>
    <row r="50" ht="15.75" customHeight="1">
      <c r="A50" s="271" t="n">
        <v>46</v>
      </c>
      <c r="B50" s="271" t="inlineStr">
        <is>
          <t>MPO001</t>
        </is>
      </c>
      <c r="C50" s="271" t="inlineStr">
        <is>
          <t>MLS (Shenzhen Mulinsen)</t>
        </is>
      </c>
      <c r="D50" s="271" t="inlineStr">
        <is>
          <t>50% TT advance, 50% before shipment</t>
        </is>
      </c>
      <c r="E50" s="271" t="inlineStr">
        <is>
          <t>장비</t>
        </is>
      </c>
      <c r="F50" s="272" t="n">
        <v>46276</v>
      </c>
      <c r="G50" s="272" t="n">
        <v>46280</v>
      </c>
      <c r="H50" s="273" t="n">
        <v>103857.16</v>
      </c>
      <c r="I50" s="274" t="n">
        <v>1364.2</v>
      </c>
      <c r="J50" s="275" t="n">
        <v>70840969</v>
      </c>
      <c r="K50" s="275" t="n">
        <v>70840969</v>
      </c>
      <c r="L50" s="275" t="n">
        <v>12500</v>
      </c>
      <c r="M50" s="275" t="n">
        <v>8000</v>
      </c>
      <c r="N50" s="271" t="inlineStr">
        <is>
          <t>Indoor COB LED Screen 9SET (P1.86 8SET + P0.93 1SET, NovaStar 프로세서 포함, 거제 한화오션) 선금 50%</t>
        </is>
      </c>
      <c r="O50" s="272" t="n"/>
      <c r="P50" s="271" t="n"/>
      <c r="Q50" s="276">
        <f>IF(P50="","",IFERROR(VLOOKUP(O50,FxRateTable,4,TRUE),""))</f>
        <v/>
      </c>
      <c r="R50" s="273">
        <f>IF(P50="","",H50)</f>
        <v/>
      </c>
      <c r="S50" s="275" t="n">
        <v>0</v>
      </c>
      <c r="T50" s="275" t="n">
        <v>0</v>
      </c>
      <c r="U50" s="272" t="n"/>
      <c r="V50" s="271" t="inlineStr">
        <is>
          <t>-</t>
        </is>
      </c>
      <c r="W50" s="275" t="n">
        <v>0</v>
      </c>
      <c r="X50" s="271" t="inlineStr">
        <is>
          <t>-</t>
        </is>
      </c>
      <c r="Y50" s="275" t="n">
        <v>0</v>
      </c>
      <c r="Z50" s="275">
        <f>S50+W50</f>
        <v/>
      </c>
      <c r="AA50" s="277">
        <f>K50+L50+M50+IFERROR(VLOOKUP(B50,RemitTable2,9,FALSE),0)+Y50+Z50</f>
        <v/>
      </c>
      <c r="AB50" s="278" t="n">
        <v>9</v>
      </c>
      <c r="AC50" s="277">
        <f>ROUND(AA50/AB50,0)</f>
        <v/>
      </c>
      <c r="AD50" s="271" t="n"/>
      <c r="AE50" s="272" t="inlineStr">
        <is>
          <t>-</t>
        </is>
      </c>
      <c r="AF50" s="272" t="inlineStr">
        <is>
          <t>-</t>
        </is>
      </c>
    </row>
    <row r="51" ht="15.75" customHeight="1">
      <c r="A51" s="271" t="n">
        <v>47</v>
      </c>
      <c r="B51" s="271" t="inlineStr">
        <is>
          <t>IPO017</t>
        </is>
      </c>
      <c r="C51" s="271" t="inlineStr">
        <is>
          <t>Integ Process Group</t>
        </is>
      </c>
      <c r="D51" s="271" t="inlineStr">
        <is>
          <t>-</t>
        </is>
      </c>
      <c r="E51" s="271" t="inlineStr">
        <is>
          <t>부품</t>
        </is>
      </c>
      <c r="F51" s="272" t="inlineStr">
        <is>
          <t>-</t>
        </is>
      </c>
      <c r="G51" s="272" t="inlineStr">
        <is>
          <t>-</t>
        </is>
      </c>
      <c r="H51" s="273" t="n">
        <v>0</v>
      </c>
      <c r="I51" s="274">
        <f>IFERROR(VLOOKUP(B51,RemitTable2,7,FALSE),0)</f>
        <v/>
      </c>
      <c r="J51" s="275" t="n">
        <v>0</v>
      </c>
      <c r="K51" s="275">
        <f>IFERROR(ROUND(H51*I51,0),0)</f>
        <v/>
      </c>
      <c r="L51" s="275">
        <f>IFERROR(VLOOKUP(B51,RemitTable2,10,FALSE),0)</f>
        <v/>
      </c>
      <c r="M51" s="275">
        <f>IFERROR(VLOOKUP(B51,RemitTable2,11,FALSE),0)</f>
        <v/>
      </c>
      <c r="N51" s="271" t="inlineStr">
        <is>
          <t>JNIOR Model 410 (IPO017, FedEx 4/21 발송분)</t>
        </is>
      </c>
      <c r="O51" s="272" t="n"/>
      <c r="P51" s="271" t="n"/>
      <c r="Q51" s="276">
        <f>IF(P51="","",IFERROR(VLOOKUP(O51,FxRateTable,4,TRUE),""))</f>
        <v/>
      </c>
      <c r="R51" s="273">
        <f>IF(P51="","",H51)</f>
        <v/>
      </c>
      <c r="S51" s="275" t="n">
        <v>0</v>
      </c>
      <c r="T51" s="275" t="n">
        <v>0</v>
      </c>
      <c r="U51" s="272" t="n"/>
      <c r="V51" s="271" t="inlineStr">
        <is>
          <t>-</t>
        </is>
      </c>
      <c r="W51" s="275" t="n">
        <v>0</v>
      </c>
      <c r="X51" s="271" t="inlineStr">
        <is>
          <t>FedEx</t>
        </is>
      </c>
      <c r="Y51" s="275" t="n">
        <v>159250</v>
      </c>
      <c r="Z51" s="275">
        <f>S51+W51</f>
        <v/>
      </c>
      <c r="AA51" s="277">
        <f>K51+L51+M51+IFERROR(VLOOKUP(B51,RemitTable2,9,FALSE),0)+Y51+Z51</f>
        <v/>
      </c>
      <c r="AB51" s="278" t="n">
        <v>1</v>
      </c>
      <c r="AC51" s="277">
        <f>ROUND(AA51/AB51,0)</f>
        <v/>
      </c>
      <c r="AD51" s="271" t="n"/>
      <c r="AE51" s="272" t="inlineStr">
        <is>
          <t>-</t>
        </is>
      </c>
      <c r="AF51" s="272" t="inlineStr">
        <is>
          <t>-</t>
        </is>
      </c>
    </row>
    <row r="52" ht="15.75" customHeight="1">
      <c r="A52" s="271" t="n">
        <v>48</v>
      </c>
      <c r="B52" s="271" t="inlineStr">
        <is>
          <t>GPO488</t>
        </is>
      </c>
      <c r="C52" s="271" t="inlineStr">
        <is>
          <t>GDC</t>
        </is>
      </c>
      <c r="D52" s="271" t="inlineStr">
        <is>
          <t>Net 30 days</t>
        </is>
      </c>
      <c r="E52" s="271" t="inlineStr">
        <is>
          <t>부품(Fan)</t>
        </is>
      </c>
      <c r="F52" s="272" t="inlineStr">
        <is>
          <t>-</t>
        </is>
      </c>
      <c r="G52" s="272" t="n">
        <v>46238</v>
      </c>
      <c r="H52" s="273" t="n">
        <v>180</v>
      </c>
      <c r="I52" s="274" t="n">
        <v>1432.9</v>
      </c>
      <c r="J52" s="275" t="n">
        <v>257922</v>
      </c>
      <c r="K52" s="275" t="n">
        <v>257922</v>
      </c>
      <c r="L52" s="275" t="n">
        <v>2500</v>
      </c>
      <c r="M52" s="275" t="n">
        <v>8000</v>
      </c>
      <c r="N52" s="271" t="inlineStr">
        <is>
          <t>PSD-3000-U2 Rear Ventilation Fan (20EA)</t>
        </is>
      </c>
      <c r="O52" s="272" t="n">
        <v>46216</v>
      </c>
      <c r="P52" s="271" t="inlineStr">
        <is>
          <t>23176-26-605075M</t>
        </is>
      </c>
      <c r="Q52" s="276">
        <f>IF(P52="","",IFERROR(VLOOKUP(O52,FxRateTable,4,TRUE),""))</f>
        <v/>
      </c>
      <c r="R52" s="273">
        <f>IF(P52="","",H52)</f>
        <v/>
      </c>
      <c r="S52" s="275" t="n">
        <v>24140</v>
      </c>
      <c r="T52" s="275" t="n">
        <v>32590</v>
      </c>
      <c r="U52" s="272" t="n"/>
      <c r="V52" s="271" t="inlineStr">
        <is>
          <t>스타합동관세사무소</t>
        </is>
      </c>
      <c r="W52" s="275" t="n">
        <v>0</v>
      </c>
      <c r="X52" s="271" t="inlineStr">
        <is>
          <t>Fedex</t>
        </is>
      </c>
      <c r="Y52" s="275" t="n">
        <v>54150</v>
      </c>
      <c r="Z52" s="275">
        <f>S52+W52</f>
        <v/>
      </c>
      <c r="AA52" s="277">
        <f>K52+L52+M52+IFERROR(VLOOKUP(B52,RemitTable2,9,FALSE),0)+Y52+Z52</f>
        <v/>
      </c>
      <c r="AB52" s="278" t="n">
        <v>20</v>
      </c>
      <c r="AC52" s="277">
        <f>ROUND(AA52/AB52,0)</f>
        <v/>
      </c>
      <c r="AD52" s="271" t="inlineStr">
        <is>
          <t>2026-07</t>
        </is>
      </c>
      <c r="AE52" s="272" t="inlineStr">
        <is>
          <t>-</t>
        </is>
      </c>
      <c r="AF52" s="272" t="inlineStr">
        <is>
          <t>-</t>
        </is>
      </c>
    </row>
    <row r="53" ht="15.75" customHeight="1">
      <c r="A53" s="271" t="n">
        <v>49</v>
      </c>
      <c r="B53" s="271" t="inlineStr">
        <is>
          <t>GPO493</t>
        </is>
      </c>
      <c r="C53" s="271" t="inlineStr">
        <is>
          <t>GDC</t>
        </is>
      </c>
      <c r="D53" s="271" t="inlineStr">
        <is>
          <t>Net 30 days</t>
        </is>
      </c>
      <c r="E53" s="271" t="inlineStr">
        <is>
          <t>부품</t>
        </is>
      </c>
      <c r="F53" s="272" t="inlineStr">
        <is>
          <t>-</t>
        </is>
      </c>
      <c r="G53" s="272" t="n">
        <v>46245</v>
      </c>
      <c r="H53" s="273" t="n">
        <v>4470</v>
      </c>
      <c r="I53" s="274" t="n">
        <v>1419.3</v>
      </c>
      <c r="J53" s="275" t="n">
        <v>6344271</v>
      </c>
      <c r="K53" s="275" t="n">
        <v>6344271</v>
      </c>
      <c r="L53" s="275" t="n">
        <v>7500</v>
      </c>
      <c r="M53" s="275" t="n">
        <v>8000</v>
      </c>
      <c r="N53" s="271" t="inlineStr">
        <is>
          <t>SR-1000 Christie S2/S3 Faceplate (37EA) + Security Gate (45EA)</t>
        </is>
      </c>
      <c r="O53" s="272" t="n">
        <v>46218</v>
      </c>
      <c r="P53" s="271" t="inlineStr">
        <is>
          <t>23176-26-618473M</t>
        </is>
      </c>
      <c r="Q53" s="276">
        <f>IF(P53="","",IFERROR(VLOOKUP(O53,FxRateTable,4,TRUE),""))</f>
        <v/>
      </c>
      <c r="R53" s="273">
        <f>IF(P53="","",H53)</f>
        <v/>
      </c>
      <c r="S53" s="275" t="n">
        <v>0</v>
      </c>
      <c r="T53" s="275" t="n">
        <v>692710</v>
      </c>
      <c r="U53" s="272" t="n"/>
      <c r="V53" s="271" t="inlineStr">
        <is>
          <t>스타합동관세사무소</t>
        </is>
      </c>
      <c r="W53" s="275" t="n">
        <v>0</v>
      </c>
      <c r="X53" s="271" t="inlineStr">
        <is>
          <t>Fedex</t>
        </is>
      </c>
      <c r="Y53" s="275" t="n">
        <v>235570</v>
      </c>
      <c r="Z53" s="275">
        <f>S53+W53</f>
        <v/>
      </c>
      <c r="AA53" s="277">
        <f>K53+L53+M53+IFERROR(VLOOKUP(B53,RemitTable2,9,FALSE),0)+Y53+Z53</f>
        <v/>
      </c>
      <c r="AB53" s="278" t="n">
        <v>82</v>
      </c>
      <c r="AC53" s="277">
        <f>ROUND(AA53/AB53,0)</f>
        <v/>
      </c>
      <c r="AD53" s="271" t="inlineStr">
        <is>
          <t>2026-07</t>
        </is>
      </c>
      <c r="AE53" s="272" t="inlineStr">
        <is>
          <t>-</t>
        </is>
      </c>
      <c r="AF53" s="272" t="inlineStr">
        <is>
          <t>-</t>
        </is>
      </c>
    </row>
    <row r="54" ht="15.75" customHeight="1">
      <c r="A54" s="271" t="n">
        <v>50</v>
      </c>
      <c r="B54" s="271" t="inlineStr">
        <is>
          <t>GPO482</t>
        </is>
      </c>
      <c r="C54" s="271" t="inlineStr">
        <is>
          <t>GDC (Espedeo)</t>
        </is>
      </c>
      <c r="D54" s="271" t="inlineStr">
        <is>
          <t>Net 30 days</t>
        </is>
      </c>
      <c r="E54" s="271" t="inlineStr">
        <is>
          <t>장비</t>
        </is>
      </c>
      <c r="F54" s="272" t="inlineStr">
        <is>
          <t>-</t>
        </is>
      </c>
      <c r="G54" s="272" t="n">
        <v>46280</v>
      </c>
      <c r="H54" s="273" t="n">
        <v>329510</v>
      </c>
      <c r="I54" s="274" t="n">
        <v>1363.2</v>
      </c>
      <c r="J54" s="275" t="n">
        <v>449188032</v>
      </c>
      <c r="K54" s="275" t="n">
        <v>449188032</v>
      </c>
      <c r="L54" s="275" t="n">
        <v>12291</v>
      </c>
      <c r="M54" s="275" t="n">
        <v>7866</v>
      </c>
      <c r="N54" s="271" t="inlineStr">
        <is>
          <t>Tricorne Premium Cinema LED 1SET + Enterprise Storage 8TB (3EA) + Synchronization kit 1SET</t>
        </is>
      </c>
      <c r="O54" s="272" t="n">
        <v>46224</v>
      </c>
      <c r="P54" s="271" t="inlineStr">
        <is>
          <t>14008-26-101364M</t>
        </is>
      </c>
      <c r="Q54" s="276">
        <f>IF(P54="","",IFERROR(VLOOKUP(O54,FxRateTable,4,TRUE),""))</f>
        <v/>
      </c>
      <c r="R54" s="273">
        <f>IF(P54="","",H54)</f>
        <v/>
      </c>
      <c r="S54" s="275" t="n">
        <v>0</v>
      </c>
      <c r="T54" s="275" t="n">
        <v>49543390</v>
      </c>
      <c r="U54" s="272" t="n"/>
      <c r="V54" s="271" t="inlineStr">
        <is>
          <t>조운관세사무소</t>
        </is>
      </c>
      <c r="W54" s="275" t="n">
        <v>248772</v>
      </c>
      <c r="X54" s="271" t="inlineStr">
        <is>
          <t>훼밀리익스프레스</t>
        </is>
      </c>
      <c r="Y54" s="275" t="n">
        <v>3319267</v>
      </c>
      <c r="Z54" s="275">
        <f>S54+W54</f>
        <v/>
      </c>
      <c r="AA54" s="277">
        <f>K54+L54+M54+IFERROR(VLOOKUP(B54,RemitTable2,9,FALSE),0)+Y54+Z54</f>
        <v/>
      </c>
      <c r="AB54" s="278" t="n">
        <v>1</v>
      </c>
      <c r="AC54" s="277">
        <f>ROUND(AA54/AB54,0)</f>
        <v/>
      </c>
      <c r="AD54" s="271" t="inlineStr">
        <is>
          <t>2026-07</t>
        </is>
      </c>
      <c r="AE54" s="272" t="inlineStr">
        <is>
          <t>-</t>
        </is>
      </c>
      <c r="AF54" s="272" t="inlineStr">
        <is>
          <t>-</t>
        </is>
      </c>
    </row>
    <row r="55" ht="15.75" customHeight="1">
      <c r="A55" s="271" t="n">
        <v>51</v>
      </c>
      <c r="B55" s="271" t="inlineStr">
        <is>
          <t>GPO485</t>
        </is>
      </c>
      <c r="C55" s="271" t="inlineStr">
        <is>
          <t>GDC (Espedeo)</t>
        </is>
      </c>
      <c r="D55" s="271" t="inlineStr">
        <is>
          <t>Net 30 days</t>
        </is>
      </c>
      <c r="E55" s="271" t="inlineStr">
        <is>
          <t>장비</t>
        </is>
      </c>
      <c r="F55" s="272" t="inlineStr">
        <is>
          <t>-</t>
        </is>
      </c>
      <c r="G55" s="272" t="n">
        <v>46280</v>
      </c>
      <c r="H55" s="273" t="n">
        <v>5600</v>
      </c>
      <c r="I55" s="274" t="n">
        <v>1363.2</v>
      </c>
      <c r="J55" s="275" t="n">
        <v>7633920</v>
      </c>
      <c r="K55" s="275" t="n">
        <v>7633920</v>
      </c>
      <c r="L55" s="275" t="n">
        <v>209</v>
      </c>
      <c r="M55" s="275" t="n">
        <v>134</v>
      </c>
      <c r="N55" s="271" t="inlineStr">
        <is>
          <t>Active 3D system AL-1000T 1SET + 3D active glasses GL-110T (50EA)</t>
        </is>
      </c>
      <c r="O55" s="272" t="n">
        <v>46224</v>
      </c>
      <c r="P55" s="271" t="inlineStr">
        <is>
          <t>14008-26-101364M</t>
        </is>
      </c>
      <c r="Q55" s="276">
        <f>IF(P55="","",IFERROR(VLOOKUP(O55,FxRateTable,4,TRUE),""))</f>
        <v/>
      </c>
      <c r="R55" s="273">
        <f>IF(P55="","",H55)</f>
        <v/>
      </c>
      <c r="S55" s="275" t="n">
        <v>0</v>
      </c>
      <c r="T55" s="275" t="n">
        <v>841980</v>
      </c>
      <c r="U55" s="272" t="n"/>
      <c r="V55" s="271" t="inlineStr">
        <is>
          <t>조운관세사무소</t>
        </is>
      </c>
      <c r="W55" s="275" t="n">
        <v>4228</v>
      </c>
      <c r="X55" s="271" t="inlineStr">
        <is>
          <t>훼밀리익스프레스</t>
        </is>
      </c>
      <c r="Y55" s="275" t="n">
        <v>56411</v>
      </c>
      <c r="Z55" s="275">
        <f>S55+W55</f>
        <v/>
      </c>
      <c r="AA55" s="277">
        <f>K55+L55+M55+IFERROR(VLOOKUP(B55,RemitTable2,9,FALSE),0)+Y55+Z55</f>
        <v/>
      </c>
      <c r="AB55" s="278" t="n">
        <v>51</v>
      </c>
      <c r="AC55" s="277">
        <f>ROUND(AA55/AB55,0)</f>
        <v/>
      </c>
      <c r="AD55" s="271" t="inlineStr">
        <is>
          <t>2026-07</t>
        </is>
      </c>
      <c r="AE55" s="272" t="inlineStr">
        <is>
          <t>-</t>
        </is>
      </c>
      <c r="AF55" s="272" t="inlineStr">
        <is>
          <t>-</t>
        </is>
      </c>
    </row>
    <row r="56" ht="15.75" customHeight="1">
      <c r="A56" s="271" t="n">
        <v>52</v>
      </c>
      <c r="B56" s="271" t="inlineStr">
        <is>
          <t>GPO477</t>
        </is>
      </c>
      <c r="C56" s="271" t="inlineStr">
        <is>
          <t>GDC</t>
        </is>
      </c>
      <c r="D56" s="271" t="inlineStr">
        <is>
          <t>Net 30 days</t>
        </is>
      </c>
      <c r="E56" s="271" t="inlineStr">
        <is>
          <t>부품</t>
        </is>
      </c>
      <c r="F56" s="272" t="inlineStr">
        <is>
          <t>-</t>
        </is>
      </c>
      <c r="G56" s="272" t="n">
        <v>46252</v>
      </c>
      <c r="H56" s="273" t="n">
        <v>1140</v>
      </c>
      <c r="I56" s="274" t="n">
        <v>1415.6</v>
      </c>
      <c r="J56" s="275" t="n">
        <v>1613784</v>
      </c>
      <c r="K56" s="275" t="n">
        <v>1613784</v>
      </c>
      <c r="L56" s="275" t="n">
        <v>5000</v>
      </c>
      <c r="M56" s="275" t="n">
        <v>8000</v>
      </c>
      <c r="N56" s="271" t="inlineStr">
        <is>
          <t>HDMI Module for AIB-3000 (3PCS, GPO483과 합배송 통관)</t>
        </is>
      </c>
      <c r="O56" s="272" t="n">
        <v>46188</v>
      </c>
      <c r="P56" s="271" t="inlineStr">
        <is>
          <t>23176-26-472403M</t>
        </is>
      </c>
      <c r="Q56" s="276">
        <f>IF(P56="","",IFERROR(VLOOKUP(O56,FxRateTable,4,TRUE),""))</f>
        <v/>
      </c>
      <c r="R56" s="273">
        <f>IF(P56="","",H56)</f>
        <v/>
      </c>
      <c r="S56" s="275" t="n">
        <v>0</v>
      </c>
      <c r="T56" s="275" t="n">
        <v>176563</v>
      </c>
      <c r="U56" s="272" t="n"/>
      <c r="V56" s="271" t="inlineStr">
        <is>
          <t>스타합동관세사무소</t>
        </is>
      </c>
      <c r="W56" s="275" t="n">
        <v>0</v>
      </c>
      <c r="X56" s="271" t="inlineStr">
        <is>
          <t>Fedex</t>
        </is>
      </c>
      <c r="Y56" s="275" t="n">
        <v>45946</v>
      </c>
      <c r="Z56" s="275">
        <f>S56+W56</f>
        <v/>
      </c>
      <c r="AA56" s="277">
        <f>K56+L56+M56+IFERROR(VLOOKUP(B56,RemitTable2,9,FALSE),0)+Y56+Z56</f>
        <v/>
      </c>
      <c r="AB56" s="278" t="n">
        <v>3</v>
      </c>
      <c r="AC56" s="277">
        <f>ROUND(AA56/AB56,0)</f>
        <v/>
      </c>
      <c r="AD56" s="271" t="inlineStr">
        <is>
          <t>2026-06</t>
        </is>
      </c>
      <c r="AE56" s="272" t="inlineStr">
        <is>
          <t>-</t>
        </is>
      </c>
      <c r="AF56" s="272" t="inlineStr">
        <is>
          <t>-</t>
        </is>
      </c>
    </row>
    <row r="57" ht="15.75" customHeight="1">
      <c r="A57" s="271" t="n">
        <v>53</v>
      </c>
      <c r="B57" s="271" t="inlineStr">
        <is>
          <t>GPO491</t>
        </is>
      </c>
      <c r="C57" s="271" t="inlineStr">
        <is>
          <t>GDC (Espedeo)</t>
        </is>
      </c>
      <c r="D57" s="271" t="inlineStr">
        <is>
          <t>Net 30 days</t>
        </is>
      </c>
      <c r="E57" s="271" t="inlineStr">
        <is>
          <t>장비</t>
        </is>
      </c>
      <c r="F57" s="272" t="inlineStr">
        <is>
          <t>-</t>
        </is>
      </c>
      <c r="G57" s="272" t="inlineStr">
        <is>
          <t>-</t>
        </is>
      </c>
      <c r="H57" s="273" t="n">
        <v>450950</v>
      </c>
      <c r="I57" s="274">
        <f>IFERROR(VLOOKUP(B57,RemitTable2,7,FALSE),0)</f>
        <v/>
      </c>
      <c r="J57" s="275" t="n">
        <v>0</v>
      </c>
      <c r="K57" s="275">
        <f>IFERROR(ROUND(H57*I57,0),0)</f>
        <v/>
      </c>
      <c r="L57" s="275">
        <f>IFERROR(VLOOKUP(B57,RemitTable2,10,FALSE),0)</f>
        <v/>
      </c>
      <c r="M57" s="275">
        <f>IFERROR(VLOOKUP(B57,RemitTable2,11,FALSE),0)</f>
        <v/>
      </c>
      <c r="N57" s="271" t="inlineStr">
        <is>
          <t>Tricorne Premium Cinema LED 1SET + Enterprise Storage 8TB 3SET + Synchronization kit 1SET + 케이블 (CGV 여의도)</t>
        </is>
      </c>
      <c r="O57" s="272" t="n">
        <v>46277</v>
      </c>
      <c r="P57" s="271" t="inlineStr">
        <is>
          <t>14008-26-101497M</t>
        </is>
      </c>
      <c r="Q57" s="276">
        <f>IF(P57="","",IFERROR(VLOOKUP(O57,FxRateTable,4,TRUE),""))</f>
        <v/>
      </c>
      <c r="R57" s="273">
        <f>IF(P57="","",H57)</f>
        <v/>
      </c>
      <c r="S57" s="275" t="n">
        <v>0</v>
      </c>
      <c r="T57" s="275" t="n">
        <v>62129300</v>
      </c>
      <c r="U57" s="272" t="n"/>
      <c r="V57" s="271" t="inlineStr">
        <is>
          <t>조운관세사무소</t>
        </is>
      </c>
      <c r="W57" s="275" t="n">
        <v>253000</v>
      </c>
      <c r="X57" s="271" t="inlineStr">
        <is>
          <t>진로직스</t>
        </is>
      </c>
      <c r="Y57" s="275" t="n">
        <v>5255256</v>
      </c>
      <c r="Z57" s="275">
        <f>S57+W57</f>
        <v/>
      </c>
      <c r="AA57" s="277">
        <f>K57+L57+M57+IFERROR(VLOOKUP(B57,RemitTable2,9,FALSE),0)+Y57+Z57</f>
        <v/>
      </c>
      <c r="AB57" s="278" t="n">
        <v>1</v>
      </c>
      <c r="AC57" s="277">
        <f>ROUND(AA57/AB57,0)</f>
        <v/>
      </c>
      <c r="AD57" s="271" t="inlineStr">
        <is>
          <t>2026-09</t>
        </is>
      </c>
      <c r="AE57" s="272" t="inlineStr">
        <is>
          <t>-</t>
        </is>
      </c>
      <c r="AF57" s="272" t="inlineStr">
        <is>
          <t>-</t>
        </is>
      </c>
    </row>
    <row r="58" ht="15.75" customHeight="1">
      <c r="A58" s="279" t="n">
        <v>54</v>
      </c>
      <c r="B58" s="279" t="inlineStr">
        <is>
          <t>CPO667</t>
        </is>
      </c>
      <c r="C58" s="280" t="inlineStr">
        <is>
          <t>Christie</t>
        </is>
      </c>
      <c r="D58" s="279" t="inlineStr">
        <is>
          <t>Net 45 days</t>
        </is>
      </c>
      <c r="E58" s="280" t="inlineStr">
        <is>
          <t>워런티(EW)</t>
        </is>
      </c>
      <c r="F58" s="281" t="n">
        <v>45925</v>
      </c>
      <c r="G58" s="282" t="n">
        <v>46080</v>
      </c>
      <c r="H58" s="283" t="n">
        <v>5673</v>
      </c>
      <c r="I58" s="284" t="n">
        <v>1441.6</v>
      </c>
      <c r="J58" s="285" t="n">
        <v>8178197</v>
      </c>
      <c r="K58" s="285" t="n">
        <v>8178197</v>
      </c>
      <c r="L58" s="285" t="n">
        <v>499</v>
      </c>
      <c r="M58" s="285" t="n">
        <v>319</v>
      </c>
      <c r="N58" s="279" t="inlineStr">
        <is>
          <t>EW CP2220</t>
        </is>
      </c>
      <c r="O58" s="282" t="inlineStr">
        <is>
          <t>-</t>
        </is>
      </c>
      <c r="P58" s="279" t="inlineStr">
        <is>
          <t>-</t>
        </is>
      </c>
      <c r="Q58" s="286">
        <f>IF(P58="","",IFERROR(VLOOKUP(O58,FxRateTable,4,TRUE),""))</f>
        <v/>
      </c>
      <c r="R58" s="283">
        <f>IF(P58="","",H58)</f>
        <v/>
      </c>
      <c r="S58" s="285" t="n">
        <v>0</v>
      </c>
      <c r="T58" s="285" t="n">
        <v>0</v>
      </c>
      <c r="U58" s="281" t="n"/>
      <c r="V58" s="279" t="inlineStr">
        <is>
          <t>-</t>
        </is>
      </c>
      <c r="W58" s="285" t="n">
        <v>0</v>
      </c>
      <c r="X58" s="280" t="inlineStr">
        <is>
          <t>-</t>
        </is>
      </c>
      <c r="Y58" s="285" t="n">
        <v>0</v>
      </c>
      <c r="Z58" s="285">
        <f>S58+W58</f>
        <v/>
      </c>
      <c r="AA58" s="285">
        <f>K58+L58+M58+IFERROR(VLOOKUP(B58,RemitTable2,9,FALSE),0)+Y58+Z58</f>
        <v/>
      </c>
      <c r="AB58" s="287" t="n">
        <v>1</v>
      </c>
      <c r="AC58" s="285">
        <f>ROUND(AA58/AB58,0)</f>
        <v/>
      </c>
      <c r="AD58" s="279" t="inlineStr">
        <is>
          <t>2025-09</t>
        </is>
      </c>
      <c r="AE58" s="282" t="n">
        <v>45913</v>
      </c>
      <c r="AF58" s="281" t="n">
        <v>46262</v>
      </c>
    </row>
    <row r="59" ht="15.75" customHeight="1">
      <c r="A59" s="279" t="n">
        <v>55</v>
      </c>
      <c r="B59" s="279" t="inlineStr">
        <is>
          <t>GPO458</t>
        </is>
      </c>
      <c r="C59" s="280" t="inlineStr">
        <is>
          <t>GDC</t>
        </is>
      </c>
      <c r="D59" s="279" t="inlineStr">
        <is>
          <t>Net 30 days</t>
        </is>
      </c>
      <c r="E59" s="280" t="inlineStr">
        <is>
          <t>라이센스</t>
        </is>
      </c>
      <c r="F59" s="281" t="n">
        <v>45982</v>
      </c>
      <c r="G59" s="282" t="n">
        <v>46020</v>
      </c>
      <c r="H59" s="283" t="n">
        <v>350</v>
      </c>
      <c r="I59" s="284" t="n">
        <v>1439.1</v>
      </c>
      <c r="J59" s="285" t="n">
        <v>503685</v>
      </c>
      <c r="K59" s="285" t="n">
        <v>503685</v>
      </c>
      <c r="L59" s="285" t="n">
        <v>253</v>
      </c>
      <c r="M59" s="285" t="n">
        <v>202</v>
      </c>
      <c r="N59" s="279" t="inlineStr">
        <is>
          <t>HFR License</t>
        </is>
      </c>
      <c r="O59" s="282" t="inlineStr">
        <is>
          <t>-</t>
        </is>
      </c>
      <c r="P59" s="279" t="inlineStr">
        <is>
          <t>-</t>
        </is>
      </c>
      <c r="Q59" s="286">
        <f>IF(P59="","",IFERROR(VLOOKUP(O59,FxRateTable,4,TRUE),""))</f>
        <v/>
      </c>
      <c r="R59" s="283">
        <f>IF(P59="","",H59)</f>
        <v/>
      </c>
      <c r="S59" s="285" t="n">
        <v>0</v>
      </c>
      <c r="T59" s="285" t="n">
        <v>0</v>
      </c>
      <c r="U59" s="281" t="n"/>
      <c r="V59" s="279" t="inlineStr">
        <is>
          <t>-</t>
        </is>
      </c>
      <c r="W59" s="285" t="n">
        <v>0</v>
      </c>
      <c r="X59" s="280" t="inlineStr">
        <is>
          <t>-</t>
        </is>
      </c>
      <c r="Y59" s="285" t="n">
        <v>0</v>
      </c>
      <c r="Z59" s="285">
        <f>S59+W59</f>
        <v/>
      </c>
      <c r="AA59" s="285">
        <f>K59+L59+M59+IFERROR(VLOOKUP(B59,RemitTable2,9,FALSE),0)+Y59+Z59</f>
        <v/>
      </c>
      <c r="AB59" s="287" t="n">
        <v>1</v>
      </c>
      <c r="AC59" s="285">
        <f>ROUND(AA59/AB59,0)</f>
        <v/>
      </c>
      <c r="AD59" s="279" t="inlineStr">
        <is>
          <t>2025-12</t>
        </is>
      </c>
      <c r="AE59" s="282" t="n">
        <v>45992</v>
      </c>
      <c r="AF59" s="281" t="n">
        <v>46356</v>
      </c>
    </row>
    <row r="60" ht="15.75" customHeight="1">
      <c r="A60" s="279" t="n">
        <v>56</v>
      </c>
      <c r="B60" s="279" t="inlineStr">
        <is>
          <t>CPO681</t>
        </is>
      </c>
      <c r="C60" s="280" t="inlineStr">
        <is>
          <t>Christie</t>
        </is>
      </c>
      <c r="D60" s="279" t="inlineStr">
        <is>
          <t>Net 45 days</t>
        </is>
      </c>
      <c r="E60" s="280" t="inlineStr">
        <is>
          <t>워런티(EW)</t>
        </is>
      </c>
      <c r="F60" s="281" t="n">
        <v>45993</v>
      </c>
      <c r="G60" s="282" t="n">
        <v>46064</v>
      </c>
      <c r="H60" s="283" t="n">
        <v>26358</v>
      </c>
      <c r="I60" s="284" t="n">
        <v>1460.7</v>
      </c>
      <c r="J60" s="285" t="n">
        <v>38501131</v>
      </c>
      <c r="K60" s="285" t="n">
        <v>38501131</v>
      </c>
      <c r="L60" s="285" t="n">
        <v>12500</v>
      </c>
      <c r="M60" s="285" t="n">
        <v>8000</v>
      </c>
      <c r="N60" s="279" t="inlineStr">
        <is>
          <t>EW CP2309/2315/2320-RGB</t>
        </is>
      </c>
      <c r="O60" s="282" t="inlineStr">
        <is>
          <t>-</t>
        </is>
      </c>
      <c r="P60" s="279" t="inlineStr">
        <is>
          <t>-</t>
        </is>
      </c>
      <c r="Q60" s="286">
        <f>IF(P60="","",IFERROR(VLOOKUP(O60,FxRateTable,4,TRUE),""))</f>
        <v/>
      </c>
      <c r="R60" s="283">
        <f>IF(P60="","",H60)</f>
        <v/>
      </c>
      <c r="S60" s="285" t="n">
        <v>0</v>
      </c>
      <c r="T60" s="285" t="n">
        <v>0</v>
      </c>
      <c r="U60" s="281" t="n"/>
      <c r="V60" s="279" t="inlineStr">
        <is>
          <t>-</t>
        </is>
      </c>
      <c r="W60" s="285" t="n">
        <v>0</v>
      </c>
      <c r="X60" s="280" t="inlineStr">
        <is>
          <t>-</t>
        </is>
      </c>
      <c r="Y60" s="285" t="n">
        <v>0</v>
      </c>
      <c r="Z60" s="285">
        <f>S60+W60</f>
        <v/>
      </c>
      <c r="AA60" s="285">
        <f>K60+L60+M60+IFERROR(VLOOKUP(B60,RemitTable2,9,FALSE),0)+Y60+Z60</f>
        <v/>
      </c>
      <c r="AB60" s="287" t="n">
        <v>1</v>
      </c>
      <c r="AC60" s="285">
        <f>ROUND(AA60/AB60,0)</f>
        <v/>
      </c>
      <c r="AD60" s="279" t="inlineStr">
        <is>
          <t>2025-12</t>
        </is>
      </c>
      <c r="AE60" s="282" t="n">
        <v>46013</v>
      </c>
      <c r="AF60" s="281" t="n">
        <v>46377</v>
      </c>
    </row>
    <row r="61" ht="15.75" customHeight="1">
      <c r="A61" s="279" t="n">
        <v>57</v>
      </c>
      <c r="B61" s="279" t="inlineStr">
        <is>
          <t>GPO459</t>
        </is>
      </c>
      <c r="C61" s="280" t="inlineStr">
        <is>
          <t>GDC</t>
        </is>
      </c>
      <c r="D61" s="279" t="inlineStr">
        <is>
          <t>Net 30 days</t>
        </is>
      </c>
      <c r="E61" s="280" t="inlineStr">
        <is>
          <t>워런티(EW)</t>
        </is>
      </c>
      <c r="F61" s="281" t="n">
        <v>46007</v>
      </c>
      <c r="G61" s="282" t="n">
        <v>46043</v>
      </c>
      <c r="H61" s="283" t="n">
        <v>450</v>
      </c>
      <c r="I61" s="284" t="n">
        <v>1475.7</v>
      </c>
      <c r="J61" s="285" t="n">
        <v>664065</v>
      </c>
      <c r="K61" s="285" t="n">
        <v>664065</v>
      </c>
      <c r="L61" s="285" t="n">
        <v>912</v>
      </c>
      <c r="M61" s="285" t="n">
        <v>973</v>
      </c>
      <c r="N61" s="279" t="inlineStr">
        <is>
          <t>TMS-2000 EW</t>
        </is>
      </c>
      <c r="O61" s="282" t="inlineStr">
        <is>
          <t>-</t>
        </is>
      </c>
      <c r="P61" s="279" t="inlineStr">
        <is>
          <t>-</t>
        </is>
      </c>
      <c r="Q61" s="286">
        <f>IF(P61="","",IFERROR(VLOOKUP(O61,FxRateTable,4,TRUE),""))</f>
        <v/>
      </c>
      <c r="R61" s="283">
        <f>IF(P61="","",H61)</f>
        <v/>
      </c>
      <c r="S61" s="285" t="n">
        <v>0</v>
      </c>
      <c r="T61" s="285" t="n">
        <v>0</v>
      </c>
      <c r="U61" s="281" t="n"/>
      <c r="V61" s="279" t="inlineStr">
        <is>
          <t>-</t>
        </is>
      </c>
      <c r="W61" s="285" t="n">
        <v>0</v>
      </c>
      <c r="X61" s="280" t="inlineStr">
        <is>
          <t>-</t>
        </is>
      </c>
      <c r="Y61" s="285" t="n">
        <v>0</v>
      </c>
      <c r="Z61" s="285">
        <f>S61+W61</f>
        <v/>
      </c>
      <c r="AA61" s="285">
        <f>K61+L61+M61+IFERROR(VLOOKUP(B61,RemitTable2,9,FALSE),0)+Y61+Z61</f>
        <v/>
      </c>
      <c r="AB61" s="287" t="n">
        <v>1</v>
      </c>
      <c r="AC61" s="285">
        <f>ROUND(AA61/AB61,0)</f>
        <v/>
      </c>
      <c r="AD61" s="279" t="inlineStr">
        <is>
          <t>2026-01</t>
        </is>
      </c>
      <c r="AE61" s="282" t="n">
        <v>46023</v>
      </c>
      <c r="AF61" s="281" t="n">
        <v>46387</v>
      </c>
    </row>
    <row r="62" ht="15.75" customHeight="1">
      <c r="A62" s="279" t="n">
        <v>58</v>
      </c>
      <c r="B62" s="279" t="inlineStr">
        <is>
          <t>GPO461</t>
        </is>
      </c>
      <c r="C62" s="280" t="inlineStr">
        <is>
          <t>GDC</t>
        </is>
      </c>
      <c r="D62" s="279" t="inlineStr">
        <is>
          <t>Net 30 days</t>
        </is>
      </c>
      <c r="E62" s="280" t="inlineStr">
        <is>
          <t>워런티(EW)</t>
        </is>
      </c>
      <c r="F62" s="281" t="n">
        <v>46007</v>
      </c>
      <c r="G62" s="282" t="n">
        <v>46043</v>
      </c>
      <c r="H62" s="283" t="n">
        <v>540</v>
      </c>
      <c r="I62" s="284" t="n">
        <v>1475.7</v>
      </c>
      <c r="J62" s="285" t="n">
        <v>796878</v>
      </c>
      <c r="K62" s="285" t="n">
        <v>796878</v>
      </c>
      <c r="L62" s="285" t="n">
        <v>1095</v>
      </c>
      <c r="M62" s="285" t="n">
        <v>1168</v>
      </c>
      <c r="N62" s="279" t="inlineStr">
        <is>
          <t>TMS-1000 EW</t>
        </is>
      </c>
      <c r="O62" s="282" t="inlineStr">
        <is>
          <t>-</t>
        </is>
      </c>
      <c r="P62" s="279" t="inlineStr">
        <is>
          <t>-</t>
        </is>
      </c>
      <c r="Q62" s="286">
        <f>IF(P62="","",IFERROR(VLOOKUP(O62,FxRateTable,4,TRUE),""))</f>
        <v/>
      </c>
      <c r="R62" s="283">
        <f>IF(P62="","",H62)</f>
        <v/>
      </c>
      <c r="S62" s="285" t="n">
        <v>0</v>
      </c>
      <c r="T62" s="285" t="n">
        <v>0</v>
      </c>
      <c r="U62" s="281" t="n"/>
      <c r="V62" s="279" t="inlineStr">
        <is>
          <t>-</t>
        </is>
      </c>
      <c r="W62" s="285" t="n">
        <v>0</v>
      </c>
      <c r="X62" s="280" t="inlineStr">
        <is>
          <t>-</t>
        </is>
      </c>
      <c r="Y62" s="285" t="n">
        <v>0</v>
      </c>
      <c r="Z62" s="285">
        <f>S62+W62</f>
        <v/>
      </c>
      <c r="AA62" s="285">
        <f>K62+L62+M62+IFERROR(VLOOKUP(B62,RemitTable2,9,FALSE),0)+Y62+Z62</f>
        <v/>
      </c>
      <c r="AB62" s="287" t="n">
        <v>1</v>
      </c>
      <c r="AC62" s="285">
        <f>ROUND(AA62/AB62,0)</f>
        <v/>
      </c>
      <c r="AD62" s="279" t="inlineStr">
        <is>
          <t>2025-11</t>
        </is>
      </c>
      <c r="AE62" s="282" t="n">
        <v>45962</v>
      </c>
      <c r="AF62" s="281" t="n">
        <v>46325</v>
      </c>
    </row>
    <row r="63" ht="15.75" customHeight="1">
      <c r="A63" s="279" t="n">
        <v>59</v>
      </c>
      <c r="B63" s="279" t="inlineStr">
        <is>
          <t>CPO685</t>
        </is>
      </c>
      <c r="C63" s="280" t="inlineStr">
        <is>
          <t>Christie</t>
        </is>
      </c>
      <c r="D63" s="279" t="inlineStr">
        <is>
          <t>Net 45 days</t>
        </is>
      </c>
      <c r="E63" s="280" t="inlineStr">
        <is>
          <t>워런티(EW)</t>
        </is>
      </c>
      <c r="F63" s="281" t="n">
        <v>46010</v>
      </c>
      <c r="G63" s="282" t="n">
        <v>46080</v>
      </c>
      <c r="H63" s="283" t="n">
        <v>136516</v>
      </c>
      <c r="I63" s="284" t="n">
        <v>1441.6</v>
      </c>
      <c r="J63" s="285" t="n">
        <v>196801466</v>
      </c>
      <c r="K63" s="285" t="n">
        <v>196801466</v>
      </c>
      <c r="L63" s="285" t="n">
        <v>12001</v>
      </c>
      <c r="M63" s="285" t="n">
        <v>7681</v>
      </c>
      <c r="N63" s="279" t="inlineStr">
        <is>
          <t>EW 대량 (CP2208~CP4450)</t>
        </is>
      </c>
      <c r="O63" s="282" t="inlineStr">
        <is>
          <t>-</t>
        </is>
      </c>
      <c r="P63" s="279" t="inlineStr">
        <is>
          <t>-</t>
        </is>
      </c>
      <c r="Q63" s="286">
        <f>IF(P63="","",IFERROR(VLOOKUP(O63,FxRateTable,4,TRUE),""))</f>
        <v/>
      </c>
      <c r="R63" s="283">
        <f>IF(P63="","",H63)</f>
        <v/>
      </c>
      <c r="S63" s="285" t="n">
        <v>0</v>
      </c>
      <c r="T63" s="285" t="n">
        <v>0</v>
      </c>
      <c r="U63" s="281" t="n"/>
      <c r="V63" s="279" t="inlineStr">
        <is>
          <t>-</t>
        </is>
      </c>
      <c r="W63" s="285" t="n">
        <v>0</v>
      </c>
      <c r="X63" s="280" t="inlineStr">
        <is>
          <t>-</t>
        </is>
      </c>
      <c r="Y63" s="285" t="n">
        <v>0</v>
      </c>
      <c r="Z63" s="285">
        <f>S63+W63</f>
        <v/>
      </c>
      <c r="AA63" s="285">
        <f>K63+L63+M63+IFERROR(VLOOKUP(B63,RemitTable2,9,FALSE),0)+Y63+Z63</f>
        <v/>
      </c>
      <c r="AB63" s="287" t="n">
        <v>1</v>
      </c>
      <c r="AC63" s="285">
        <f>ROUND(AA63/AB63,0)</f>
        <v/>
      </c>
      <c r="AD63" s="279" t="inlineStr">
        <is>
          <t>2026-01</t>
        </is>
      </c>
      <c r="AE63" s="282" t="n">
        <v>46023</v>
      </c>
      <c r="AF63" s="281" t="n">
        <v>46387</v>
      </c>
    </row>
    <row r="64" ht="15.75" customHeight="1">
      <c r="A64" s="279" t="n">
        <v>60</v>
      </c>
      <c r="B64" s="279" t="inlineStr">
        <is>
          <t>GPO465</t>
        </is>
      </c>
      <c r="C64" s="280" t="inlineStr">
        <is>
          <t>GDC</t>
        </is>
      </c>
      <c r="D64" s="279" t="inlineStr">
        <is>
          <t>Net 30 days</t>
        </is>
      </c>
      <c r="E64" s="280" t="inlineStr">
        <is>
          <t>워런티(EW)</t>
        </is>
      </c>
      <c r="F64" s="281" t="n">
        <v>46015</v>
      </c>
      <c r="G64" s="282" t="inlineStr">
        <is>
          <t>-</t>
        </is>
      </c>
      <c r="H64" s="283" t="n">
        <v>76054</v>
      </c>
      <c r="I64" s="284">
        <f>IFERROR(VLOOKUP(B64,RemitTable2,7,FALSE),0)</f>
        <v/>
      </c>
      <c r="J64" s="285" t="n">
        <v>0</v>
      </c>
      <c r="K64" s="285">
        <f>IFERROR(ROUND(H64*I64,0),0)</f>
        <v/>
      </c>
      <c r="L64" s="285">
        <f>IFERROR(VLOOKUP(B64,RemitTable2,10,FALSE),0)</f>
        <v/>
      </c>
      <c r="M64" s="285">
        <f>IFERROR(VLOOKUP(B64,RemitTable2,11,FALSE),0)</f>
        <v/>
      </c>
      <c r="N64" s="279" t="inlineStr">
        <is>
          <t>EW 대량 (SR/SX/TMS)</t>
        </is>
      </c>
      <c r="O64" s="282" t="inlineStr">
        <is>
          <t>-</t>
        </is>
      </c>
      <c r="P64" s="279" t="inlineStr">
        <is>
          <t>-</t>
        </is>
      </c>
      <c r="Q64" s="286">
        <f>IF(P64="","",IFERROR(VLOOKUP(O64,FxRateTable,4,TRUE),""))</f>
        <v/>
      </c>
      <c r="R64" s="283">
        <f>IF(P64="","",H64)</f>
        <v/>
      </c>
      <c r="S64" s="285" t="n">
        <v>0</v>
      </c>
      <c r="T64" s="285" t="n">
        <v>0</v>
      </c>
      <c r="U64" s="281" t="n"/>
      <c r="V64" s="279" t="inlineStr">
        <is>
          <t>-</t>
        </is>
      </c>
      <c r="W64" s="285" t="n">
        <v>0</v>
      </c>
      <c r="X64" s="280" t="inlineStr">
        <is>
          <t>-</t>
        </is>
      </c>
      <c r="Y64" s="285" t="n">
        <v>0</v>
      </c>
      <c r="Z64" s="285">
        <f>S64+W64</f>
        <v/>
      </c>
      <c r="AA64" s="285">
        <f>K64+L64+M64+IFERROR(VLOOKUP(B64,RemitTable2,9,FALSE),0)+Y64+Z64</f>
        <v/>
      </c>
      <c r="AB64" s="287" t="n">
        <v>1</v>
      </c>
      <c r="AC64" s="285">
        <f>ROUND(AA64/AB64,0)</f>
        <v/>
      </c>
      <c r="AD64" s="279" t="inlineStr">
        <is>
          <t>2026-01</t>
        </is>
      </c>
      <c r="AE64" s="282" t="n">
        <v>46023</v>
      </c>
      <c r="AF64" s="281" t="n">
        <v>46387</v>
      </c>
    </row>
    <row r="65" ht="15.75" customHeight="1">
      <c r="A65" s="279" t="n">
        <v>61</v>
      </c>
      <c r="B65" s="279" t="inlineStr">
        <is>
          <t>CPO686</t>
        </is>
      </c>
      <c r="C65" s="280" t="inlineStr">
        <is>
          <t>Christie</t>
        </is>
      </c>
      <c r="D65" s="279" t="inlineStr">
        <is>
          <t>Net 45 days</t>
        </is>
      </c>
      <c r="E65" s="280" t="inlineStr">
        <is>
          <t>워런티(EW)</t>
        </is>
      </c>
      <c r="F65" s="281" t="n">
        <v>46029</v>
      </c>
      <c r="G65" s="282" t="n">
        <v>46072</v>
      </c>
      <c r="H65" s="283" t="n">
        <v>14793</v>
      </c>
      <c r="I65" s="284" t="n">
        <v>1451.7</v>
      </c>
      <c r="J65" s="285" t="n">
        <v>21474998</v>
      </c>
      <c r="K65" s="285" t="n">
        <v>21474998</v>
      </c>
      <c r="L65" s="285" t="n">
        <v>8435</v>
      </c>
      <c r="M65" s="285" t="n">
        <v>6748</v>
      </c>
      <c r="N65" s="279" t="inlineStr">
        <is>
          <t>EW CP2315/CP4440-RGB</t>
        </is>
      </c>
      <c r="O65" s="282" t="inlineStr">
        <is>
          <t>-</t>
        </is>
      </c>
      <c r="P65" s="279" t="inlineStr">
        <is>
          <t>-</t>
        </is>
      </c>
      <c r="Q65" s="286">
        <f>IF(P65="","",IFERROR(VLOOKUP(O65,FxRateTable,4,TRUE),""))</f>
        <v/>
      </c>
      <c r="R65" s="283">
        <f>IF(P65="","",H65)</f>
        <v/>
      </c>
      <c r="S65" s="285" t="n">
        <v>0</v>
      </c>
      <c r="T65" s="285" t="n">
        <v>0</v>
      </c>
      <c r="U65" s="281" t="n"/>
      <c r="V65" s="279" t="inlineStr">
        <is>
          <t>-</t>
        </is>
      </c>
      <c r="W65" s="285" t="n">
        <v>0</v>
      </c>
      <c r="X65" s="280" t="inlineStr">
        <is>
          <t>-</t>
        </is>
      </c>
      <c r="Y65" s="285" t="n">
        <v>0</v>
      </c>
      <c r="Z65" s="285">
        <f>S65+W65</f>
        <v/>
      </c>
      <c r="AA65" s="285">
        <f>K65+L65+M65+IFERROR(VLOOKUP(B65,RemitTable2,9,FALSE),0)+Y65+Z65</f>
        <v/>
      </c>
      <c r="AB65" s="287" t="n">
        <v>1</v>
      </c>
      <c r="AC65" s="285">
        <f>ROUND(AA65/AB65,0)</f>
        <v/>
      </c>
      <c r="AD65" s="279" t="inlineStr">
        <is>
          <t>2026-01</t>
        </is>
      </c>
      <c r="AE65" s="282" t="n">
        <v>46052</v>
      </c>
      <c r="AF65" s="281" t="n">
        <v>46416</v>
      </c>
    </row>
    <row r="66" ht="15.75" customHeight="1">
      <c r="A66" s="279" t="n">
        <v>62</v>
      </c>
      <c r="B66" s="279" t="inlineStr">
        <is>
          <t>CPO687</t>
        </is>
      </c>
      <c r="C66" s="280" t="inlineStr">
        <is>
          <t>Christie</t>
        </is>
      </c>
      <c r="D66" s="279" t="inlineStr">
        <is>
          <t>Net 45 days</t>
        </is>
      </c>
      <c r="E66" s="280" t="inlineStr">
        <is>
          <t>워런티(EW)</t>
        </is>
      </c>
      <c r="F66" s="281" t="n">
        <v>46029</v>
      </c>
      <c r="G66" s="282" t="inlineStr">
        <is>
          <t>-</t>
        </is>
      </c>
      <c r="H66" s="283" t="n">
        <v>26656</v>
      </c>
      <c r="I66" s="284">
        <f>IFERROR(VLOOKUP(B66,RemitTable2,7,FALSE),0)</f>
        <v/>
      </c>
      <c r="J66" s="285" t="n">
        <v>0</v>
      </c>
      <c r="K66" s="285">
        <f>IFERROR(ROUND(H66*I66,0),0)</f>
        <v/>
      </c>
      <c r="L66" s="285">
        <f>IFERROR(VLOOKUP(B66,RemitTable2,10,FALSE),0)</f>
        <v/>
      </c>
      <c r="M66" s="285">
        <f>IFERROR(VLOOKUP(B66,RemitTable2,11,FALSE),0)</f>
        <v/>
      </c>
      <c r="N66" s="279" t="inlineStr">
        <is>
          <t>EW (홀딩)</t>
        </is>
      </c>
      <c r="O66" s="282" t="inlineStr">
        <is>
          <t>-</t>
        </is>
      </c>
      <c r="P66" s="279" t="inlineStr">
        <is>
          <t>-</t>
        </is>
      </c>
      <c r="Q66" s="286">
        <f>IF(P66="","",IFERROR(VLOOKUP(O66,FxRateTable,4,TRUE),""))</f>
        <v/>
      </c>
      <c r="R66" s="283">
        <f>IF(P66="","",H66)</f>
        <v/>
      </c>
      <c r="S66" s="285" t="n">
        <v>0</v>
      </c>
      <c r="T66" s="285" t="n">
        <v>0</v>
      </c>
      <c r="U66" s="281" t="n"/>
      <c r="V66" s="279" t="inlineStr">
        <is>
          <t>-</t>
        </is>
      </c>
      <c r="W66" s="285" t="n">
        <v>0</v>
      </c>
      <c r="X66" s="280" t="inlineStr">
        <is>
          <t>-</t>
        </is>
      </c>
      <c r="Y66" s="285" t="n">
        <v>0</v>
      </c>
      <c r="Z66" s="285">
        <f>S66+W66</f>
        <v/>
      </c>
      <c r="AA66" s="285">
        <f>K66+L66+M66+IFERROR(VLOOKUP(B66,RemitTable2,9,FALSE),0)+Y66+Z66</f>
        <v/>
      </c>
      <c r="AB66" s="287" t="n">
        <v>1</v>
      </c>
      <c r="AC66" s="285">
        <f>ROUND(AA66/AB66,0)</f>
        <v/>
      </c>
      <c r="AD66" s="279" t="inlineStr">
        <is>
          <t>2026-01</t>
        </is>
      </c>
      <c r="AE66" s="282" t="inlineStr">
        <is>
          <t>-</t>
        </is>
      </c>
      <c r="AF66" s="281" t="inlineStr">
        <is>
          <t>-</t>
        </is>
      </c>
    </row>
    <row r="67" ht="15.75" customHeight="1">
      <c r="A67" s="279" t="n">
        <v>63</v>
      </c>
      <c r="B67" s="279" t="inlineStr">
        <is>
          <t>GPO462</t>
        </is>
      </c>
      <c r="C67" s="280" t="inlineStr">
        <is>
          <t>GDC</t>
        </is>
      </c>
      <c r="D67" s="279" t="inlineStr">
        <is>
          <t>Net 30 days</t>
        </is>
      </c>
      <c r="E67" s="280" t="inlineStr">
        <is>
          <t>라이센스</t>
        </is>
      </c>
      <c r="F67" s="281" t="n">
        <v>46042</v>
      </c>
      <c r="G67" s="282" t="n">
        <v>46057</v>
      </c>
      <c r="H67" s="283" t="n">
        <v>1440</v>
      </c>
      <c r="I67" s="284" t="n">
        <v>1453.6</v>
      </c>
      <c r="J67" s="285" t="n">
        <v>2093184</v>
      </c>
      <c r="K67" s="285" t="n">
        <v>2093184</v>
      </c>
      <c r="L67" s="285" t="n">
        <v>1241</v>
      </c>
      <c r="M67" s="285" t="n">
        <v>993</v>
      </c>
      <c r="N67" s="279" t="inlineStr">
        <is>
          <t>TMS-2000 License</t>
        </is>
      </c>
      <c r="O67" s="282" t="inlineStr">
        <is>
          <t>-</t>
        </is>
      </c>
      <c r="P67" s="279" t="inlineStr">
        <is>
          <t>-</t>
        </is>
      </c>
      <c r="Q67" s="286">
        <f>IF(P67="","",IFERROR(VLOOKUP(O67,FxRateTable,4,TRUE),""))</f>
        <v/>
      </c>
      <c r="R67" s="283">
        <f>IF(P67="","",H67)</f>
        <v/>
      </c>
      <c r="S67" s="285" t="n">
        <v>0</v>
      </c>
      <c r="T67" s="285" t="n">
        <v>0</v>
      </c>
      <c r="U67" s="281" t="n"/>
      <c r="V67" s="279" t="inlineStr">
        <is>
          <t>-</t>
        </is>
      </c>
      <c r="W67" s="285" t="n">
        <v>0</v>
      </c>
      <c r="X67" s="280" t="inlineStr">
        <is>
          <t>-</t>
        </is>
      </c>
      <c r="Y67" s="285" t="n">
        <v>0</v>
      </c>
      <c r="Z67" s="285">
        <f>S67+W67</f>
        <v/>
      </c>
      <c r="AA67" s="285">
        <f>K67+L67+M67+IFERROR(VLOOKUP(B67,RemitTable2,9,FALSE),0)+Y67+Z67</f>
        <v/>
      </c>
      <c r="AB67" s="287" t="n">
        <v>1</v>
      </c>
      <c r="AC67" s="285">
        <f>ROUND(AA67/AB67,0)</f>
        <v/>
      </c>
      <c r="AD67" s="279" t="inlineStr">
        <is>
          <t>2026-01</t>
        </is>
      </c>
      <c r="AE67" s="282" t="n">
        <v>46023</v>
      </c>
      <c r="AF67" s="281" t="n">
        <v>46387</v>
      </c>
    </row>
    <row r="68" ht="15.75" customHeight="1">
      <c r="A68" s="279" t="n">
        <v>64</v>
      </c>
      <c r="B68" s="279" t="inlineStr">
        <is>
          <t>GPO463</t>
        </is>
      </c>
      <c r="C68" s="280" t="inlineStr">
        <is>
          <t>GDC</t>
        </is>
      </c>
      <c r="D68" s="279" t="inlineStr">
        <is>
          <t>Net 30 days</t>
        </is>
      </c>
      <c r="E68" s="280" t="inlineStr">
        <is>
          <t>워런티(EW)</t>
        </is>
      </c>
      <c r="F68" s="281" t="n">
        <v>46042</v>
      </c>
      <c r="G68" s="282" t="n">
        <v>46057</v>
      </c>
      <c r="H68" s="283" t="n">
        <v>4489</v>
      </c>
      <c r="I68" s="284" t="n">
        <v>1453.6</v>
      </c>
      <c r="J68" s="285" t="n">
        <v>6525210</v>
      </c>
      <c r="K68" s="285" t="n">
        <v>6525210</v>
      </c>
      <c r="L68" s="285" t="n">
        <v>3870</v>
      </c>
      <c r="M68" s="285" t="n">
        <v>3096</v>
      </c>
      <c r="N68" s="279" t="inlineStr">
        <is>
          <t>SX/SR EW (CGV/Lotte)</t>
        </is>
      </c>
      <c r="O68" s="282" t="inlineStr">
        <is>
          <t>-</t>
        </is>
      </c>
      <c r="P68" s="279" t="inlineStr">
        <is>
          <t>-</t>
        </is>
      </c>
      <c r="Q68" s="286">
        <f>IF(P68="","",IFERROR(VLOOKUP(O68,FxRateTable,4,TRUE),""))</f>
        <v/>
      </c>
      <c r="R68" s="283">
        <f>IF(P68="","",H68)</f>
        <v/>
      </c>
      <c r="S68" s="285" t="n">
        <v>0</v>
      </c>
      <c r="T68" s="285" t="n">
        <v>0</v>
      </c>
      <c r="U68" s="281" t="n"/>
      <c r="V68" s="279" t="inlineStr">
        <is>
          <t>-</t>
        </is>
      </c>
      <c r="W68" s="285" t="n">
        <v>0</v>
      </c>
      <c r="X68" s="280" t="inlineStr">
        <is>
          <t>-</t>
        </is>
      </c>
      <c r="Y68" s="285" t="n">
        <v>0</v>
      </c>
      <c r="Z68" s="285">
        <f>S68+W68</f>
        <v/>
      </c>
      <c r="AA68" s="285">
        <f>K68+L68+M68+IFERROR(VLOOKUP(B68,RemitTable2,9,FALSE),0)+Y68+Z68</f>
        <v/>
      </c>
      <c r="AB68" s="287" t="n">
        <v>1</v>
      </c>
      <c r="AC68" s="285">
        <f>ROUND(AA68/AB68,0)</f>
        <v/>
      </c>
      <c r="AD68" s="279" t="inlineStr">
        <is>
          <t>2026-01</t>
        </is>
      </c>
      <c r="AE68" s="282" t="n">
        <v>46023</v>
      </c>
      <c r="AF68" s="281" t="n">
        <v>46387</v>
      </c>
    </row>
    <row r="69" ht="15.75" customHeight="1">
      <c r="A69" s="279" t="n">
        <v>65</v>
      </c>
      <c r="B69" s="279" t="inlineStr">
        <is>
          <t>GPO464</t>
        </is>
      </c>
      <c r="C69" s="280" t="inlineStr">
        <is>
          <t>GDC</t>
        </is>
      </c>
      <c r="D69" s="279" t="inlineStr">
        <is>
          <t>Net 30 days</t>
        </is>
      </c>
      <c r="E69" s="280" t="inlineStr">
        <is>
          <t>워런티(EW)</t>
        </is>
      </c>
      <c r="F69" s="281" t="n">
        <v>46042</v>
      </c>
      <c r="G69" s="282" t="n">
        <v>46057</v>
      </c>
      <c r="H69" s="283" t="n">
        <v>5670.57</v>
      </c>
      <c r="I69" s="284" t="n">
        <v>1453.6</v>
      </c>
      <c r="J69" s="285" t="n">
        <v>8242741</v>
      </c>
      <c r="K69" s="285" t="n">
        <v>8242741</v>
      </c>
      <c r="L69" s="285" t="n">
        <v>4889</v>
      </c>
      <c r="M69" s="285" t="n">
        <v>3911</v>
      </c>
      <c r="N69" s="279" t="inlineStr">
        <is>
          <t>SR-1000/SX-3000 EW</t>
        </is>
      </c>
      <c r="O69" s="282" t="inlineStr">
        <is>
          <t>-</t>
        </is>
      </c>
      <c r="P69" s="279" t="inlineStr">
        <is>
          <t>-</t>
        </is>
      </c>
      <c r="Q69" s="286">
        <f>IF(P69="","",IFERROR(VLOOKUP(O69,FxRateTable,4,TRUE),""))</f>
        <v/>
      </c>
      <c r="R69" s="283">
        <f>IF(P69="","",H69)</f>
        <v/>
      </c>
      <c r="S69" s="285" t="n">
        <v>0</v>
      </c>
      <c r="T69" s="285" t="n">
        <v>0</v>
      </c>
      <c r="U69" s="281" t="n"/>
      <c r="V69" s="279" t="inlineStr">
        <is>
          <t>-</t>
        </is>
      </c>
      <c r="W69" s="285" t="n">
        <v>0</v>
      </c>
      <c r="X69" s="280" t="inlineStr">
        <is>
          <t>-</t>
        </is>
      </c>
      <c r="Y69" s="285" t="n">
        <v>0</v>
      </c>
      <c r="Z69" s="285">
        <f>S69+W69</f>
        <v/>
      </c>
      <c r="AA69" s="285">
        <f>K69+L69+M69+IFERROR(VLOOKUP(B69,RemitTable2,9,FALSE),0)+Y69+Z69</f>
        <v/>
      </c>
      <c r="AB69" s="287" t="n">
        <v>1</v>
      </c>
      <c r="AC69" s="285">
        <f>ROUND(AA69/AB69,0)</f>
        <v/>
      </c>
      <c r="AD69" s="279" t="inlineStr">
        <is>
          <t>2026-01</t>
        </is>
      </c>
      <c r="AE69" s="282" t="n">
        <v>46023</v>
      </c>
      <c r="AF69" s="281" t="n">
        <v>46387</v>
      </c>
    </row>
    <row r="70" ht="15.75" customHeight="1">
      <c r="A70" s="279" t="n">
        <v>66</v>
      </c>
      <c r="B70" s="279" t="inlineStr">
        <is>
          <t>CPO691</t>
        </is>
      </c>
      <c r="C70" s="280" t="inlineStr">
        <is>
          <t>Christie</t>
        </is>
      </c>
      <c r="D70" s="279" t="inlineStr">
        <is>
          <t>Net 45 days</t>
        </is>
      </c>
      <c r="E70" s="280" t="inlineStr">
        <is>
          <t>워런티(EW)</t>
        </is>
      </c>
      <c r="F70" s="281" t="n">
        <v>46057</v>
      </c>
      <c r="G70" s="282" t="n">
        <v>46113</v>
      </c>
      <c r="H70" s="283" t="n">
        <v>24614</v>
      </c>
      <c r="I70" s="284" t="n">
        <v>1505.7</v>
      </c>
      <c r="J70" s="285" t="n">
        <v>37061300</v>
      </c>
      <c r="K70" s="285" t="n">
        <v>37061300</v>
      </c>
      <c r="L70" s="285" t="n">
        <v>8956</v>
      </c>
      <c r="M70" s="285" t="n">
        <v>5732</v>
      </c>
      <c r="N70" s="279" t="inlineStr">
        <is>
          <t>EW (메가박스 외)</t>
        </is>
      </c>
      <c r="O70" s="282" t="inlineStr">
        <is>
          <t>-</t>
        </is>
      </c>
      <c r="P70" s="279" t="inlineStr">
        <is>
          <t>-</t>
        </is>
      </c>
      <c r="Q70" s="286">
        <f>IF(P70="","",IFERROR(VLOOKUP(O70,FxRateTable,4,TRUE),""))</f>
        <v/>
      </c>
      <c r="R70" s="283">
        <f>IF(P70="","",H70)</f>
        <v/>
      </c>
      <c r="S70" s="285" t="n">
        <v>0</v>
      </c>
      <c r="T70" s="285" t="n">
        <v>0</v>
      </c>
      <c r="U70" s="281" t="n"/>
      <c r="V70" s="279" t="inlineStr">
        <is>
          <t>-</t>
        </is>
      </c>
      <c r="W70" s="285" t="n">
        <v>0</v>
      </c>
      <c r="X70" s="280" t="inlineStr">
        <is>
          <t>-</t>
        </is>
      </c>
      <c r="Y70" s="285" t="n">
        <v>0</v>
      </c>
      <c r="Z70" s="285">
        <f>S70+W70</f>
        <v/>
      </c>
      <c r="AA70" s="285">
        <f>K70+L70+M70+IFERROR(VLOOKUP(B70,RemitTable2,9,FALSE),0)+Y70+Z70</f>
        <v/>
      </c>
      <c r="AB70" s="287" t="n">
        <v>1</v>
      </c>
      <c r="AC70" s="285">
        <f>ROUND(AA70/AB70,0)</f>
        <v/>
      </c>
      <c r="AD70" s="279" t="inlineStr">
        <is>
          <t>2026-03</t>
        </is>
      </c>
      <c r="AE70" s="282" t="n">
        <v>46082</v>
      </c>
      <c r="AF70" s="281" t="n">
        <v>46446</v>
      </c>
    </row>
    <row r="71" ht="15.75" customHeight="1">
      <c r="A71" s="279" t="n">
        <v>67</v>
      </c>
      <c r="B71" s="279" t="inlineStr">
        <is>
          <t>GPO469</t>
        </is>
      </c>
      <c r="C71" s="280" t="inlineStr">
        <is>
          <t>GDC</t>
        </is>
      </c>
      <c r="D71" s="279" t="inlineStr">
        <is>
          <t>Net 30 days</t>
        </is>
      </c>
      <c r="E71" s="280" t="inlineStr">
        <is>
          <t>워런티(EW)</t>
        </is>
      </c>
      <c r="F71" s="281" t="n">
        <v>46060</v>
      </c>
      <c r="G71" s="282" t="n">
        <v>46113</v>
      </c>
      <c r="H71" s="283" t="n">
        <v>3993.05</v>
      </c>
      <c r="I71" s="284" t="n">
        <v>1506.4</v>
      </c>
      <c r="J71" s="285" t="n">
        <v>6015131</v>
      </c>
      <c r="K71" s="285" t="n">
        <v>6015131</v>
      </c>
      <c r="L71" s="285" t="n">
        <v>6093</v>
      </c>
      <c r="M71" s="285" t="n">
        <v>4875</v>
      </c>
      <c r="N71" s="279" t="inlineStr">
        <is>
          <t>SR/SX EW (하남미사 외)</t>
        </is>
      </c>
      <c r="O71" s="282" t="inlineStr">
        <is>
          <t>-</t>
        </is>
      </c>
      <c r="P71" s="279" t="inlineStr">
        <is>
          <t>-</t>
        </is>
      </c>
      <c r="Q71" s="286">
        <f>IF(P71="","",IFERROR(VLOOKUP(O71,FxRateTable,4,TRUE),""))</f>
        <v/>
      </c>
      <c r="R71" s="283">
        <f>IF(P71="","",H71)</f>
        <v/>
      </c>
      <c r="S71" s="285" t="n">
        <v>0</v>
      </c>
      <c r="T71" s="285" t="n">
        <v>0</v>
      </c>
      <c r="U71" s="281" t="n"/>
      <c r="V71" s="279" t="inlineStr">
        <is>
          <t>-</t>
        </is>
      </c>
      <c r="W71" s="285" t="n">
        <v>0</v>
      </c>
      <c r="X71" s="280" t="inlineStr">
        <is>
          <t>-</t>
        </is>
      </c>
      <c r="Y71" s="285" t="n">
        <v>0</v>
      </c>
      <c r="Z71" s="285">
        <f>S71+W71</f>
        <v/>
      </c>
      <c r="AA71" s="285">
        <f>K71+L71+M71+IFERROR(VLOOKUP(B71,RemitTable2,9,FALSE),0)+Y71+Z71</f>
        <v/>
      </c>
      <c r="AB71" s="287" t="n">
        <v>1</v>
      </c>
      <c r="AC71" s="285">
        <f>ROUND(AA71/AB71,0)</f>
        <v/>
      </c>
      <c r="AD71" s="279" t="inlineStr">
        <is>
          <t>2026-01</t>
        </is>
      </c>
      <c r="AE71" s="282" t="n">
        <v>46023</v>
      </c>
      <c r="AF71" s="281" t="n">
        <v>46440</v>
      </c>
    </row>
    <row r="72" ht="15.75" customHeight="1">
      <c r="A72" s="279" t="n">
        <v>68</v>
      </c>
      <c r="B72" s="279" t="inlineStr">
        <is>
          <t>GPO470</t>
        </is>
      </c>
      <c r="C72" s="280" t="inlineStr">
        <is>
          <t>GDC</t>
        </is>
      </c>
      <c r="D72" s="279" t="inlineStr">
        <is>
          <t>Net 30 days</t>
        </is>
      </c>
      <c r="E72" s="280" t="inlineStr">
        <is>
          <t>라이센스</t>
        </is>
      </c>
      <c r="F72" s="281" t="n">
        <v>46080</v>
      </c>
      <c r="G72" s="282" t="n">
        <v>46113</v>
      </c>
      <c r="H72" s="283" t="n">
        <v>360</v>
      </c>
      <c r="I72" s="284" t="n">
        <v>1506.4</v>
      </c>
      <c r="J72" s="285" t="n">
        <v>542304</v>
      </c>
      <c r="K72" s="285" t="n">
        <v>542304</v>
      </c>
      <c r="L72" s="285" t="n">
        <v>549</v>
      </c>
      <c r="M72" s="285" t="n">
        <v>439</v>
      </c>
      <c r="N72" s="279" t="inlineStr">
        <is>
          <t>TMS-1000 License</t>
        </is>
      </c>
      <c r="O72" s="282" t="inlineStr">
        <is>
          <t>-</t>
        </is>
      </c>
      <c r="P72" s="279" t="inlineStr">
        <is>
          <t>-</t>
        </is>
      </c>
      <c r="Q72" s="286">
        <f>IF(P72="","",IFERROR(VLOOKUP(O72,FxRateTable,4,TRUE),""))</f>
        <v/>
      </c>
      <c r="R72" s="283">
        <f>IF(P72="","",H72)</f>
        <v/>
      </c>
      <c r="S72" s="285" t="n">
        <v>0</v>
      </c>
      <c r="T72" s="285" t="n">
        <v>0</v>
      </c>
      <c r="U72" s="281" t="n"/>
      <c r="V72" s="279" t="inlineStr">
        <is>
          <t>-</t>
        </is>
      </c>
      <c r="W72" s="285" t="n">
        <v>0</v>
      </c>
      <c r="X72" s="280" t="inlineStr">
        <is>
          <t>-</t>
        </is>
      </c>
      <c r="Y72" s="285" t="n">
        <v>0</v>
      </c>
      <c r="Z72" s="285">
        <f>S72+W72</f>
        <v/>
      </c>
      <c r="AA72" s="285">
        <f>K72+L72+M72+IFERROR(VLOOKUP(B72,RemitTable2,9,FALSE),0)+Y72+Z72</f>
        <v/>
      </c>
      <c r="AB72" s="287" t="n">
        <v>1</v>
      </c>
      <c r="AC72" s="285">
        <f>ROUND(AA72/AB72,0)</f>
        <v/>
      </c>
      <c r="AD72" s="279" t="inlineStr">
        <is>
          <t>2026-03</t>
        </is>
      </c>
      <c r="AE72" s="282" t="n">
        <v>46082</v>
      </c>
      <c r="AF72" s="281" t="n">
        <v>46446</v>
      </c>
    </row>
    <row r="73" ht="15.75" customHeight="1">
      <c r="A73" s="279" t="n">
        <v>69</v>
      </c>
      <c r="B73" s="279" t="inlineStr">
        <is>
          <t>GPO471</t>
        </is>
      </c>
      <c r="C73" s="280" t="inlineStr">
        <is>
          <t>GDC</t>
        </is>
      </c>
      <c r="D73" s="279" t="inlineStr">
        <is>
          <t>Net 30 days</t>
        </is>
      </c>
      <c r="E73" s="280" t="inlineStr">
        <is>
          <t>라이센스</t>
        </is>
      </c>
      <c r="F73" s="281" t="n">
        <v>46088</v>
      </c>
      <c r="G73" s="282" t="n">
        <v>46113</v>
      </c>
      <c r="H73" s="283" t="n">
        <v>500</v>
      </c>
      <c r="I73" s="284" t="n">
        <v>1506.4</v>
      </c>
      <c r="J73" s="285" t="n">
        <v>753200</v>
      </c>
      <c r="K73" s="285" t="n">
        <v>753200</v>
      </c>
      <c r="L73" s="285" t="n">
        <v>764</v>
      </c>
      <c r="M73" s="285" t="n">
        <v>611</v>
      </c>
      <c r="N73" s="279" t="inlineStr">
        <is>
          <t>Dolby Atmos License</t>
        </is>
      </c>
      <c r="O73" s="282" t="inlineStr">
        <is>
          <t>-</t>
        </is>
      </c>
      <c r="P73" s="279" t="inlineStr">
        <is>
          <t>-</t>
        </is>
      </c>
      <c r="Q73" s="286">
        <f>IF(P73="","",IFERROR(VLOOKUP(O73,FxRateTable,4,TRUE),""))</f>
        <v/>
      </c>
      <c r="R73" s="283">
        <f>IF(P73="","",H73)</f>
        <v/>
      </c>
      <c r="S73" s="285" t="n">
        <v>0</v>
      </c>
      <c r="T73" s="285" t="n">
        <v>0</v>
      </c>
      <c r="U73" s="281" t="n"/>
      <c r="V73" s="279" t="inlineStr">
        <is>
          <t>-</t>
        </is>
      </c>
      <c r="W73" s="285" t="n">
        <v>0</v>
      </c>
      <c r="X73" s="280" t="inlineStr">
        <is>
          <t>-</t>
        </is>
      </c>
      <c r="Y73" s="285" t="n">
        <v>0</v>
      </c>
      <c r="Z73" s="285">
        <f>S73+W73</f>
        <v/>
      </c>
      <c r="AA73" s="285">
        <f>K73+L73+M73+IFERROR(VLOOKUP(B73,RemitTable2,9,FALSE),0)+Y73+Z73</f>
        <v/>
      </c>
      <c r="AB73" s="287" t="n">
        <v>1</v>
      </c>
      <c r="AC73" s="285">
        <f>ROUND(AA73/AB73,0)</f>
        <v/>
      </c>
      <c r="AD73" s="279" t="inlineStr">
        <is>
          <t>2026-03</t>
        </is>
      </c>
      <c r="AE73" s="282" t="inlineStr">
        <is>
          <t>-</t>
        </is>
      </c>
      <c r="AF73" s="281" t="inlineStr">
        <is>
          <t>-</t>
        </is>
      </c>
    </row>
    <row r="74" ht="15.75" customHeight="1">
      <c r="A74" s="279" t="n">
        <v>70</v>
      </c>
      <c r="B74" s="279" t="inlineStr">
        <is>
          <t>CPO694</t>
        </is>
      </c>
      <c r="C74" s="280" t="inlineStr">
        <is>
          <t>Christie</t>
        </is>
      </c>
      <c r="D74" s="279" t="inlineStr">
        <is>
          <t>Net 45 days</t>
        </is>
      </c>
      <c r="E74" s="280" t="inlineStr">
        <is>
          <t>워런티(EW)</t>
        </is>
      </c>
      <c r="F74" s="281" t="n">
        <v>46109</v>
      </c>
      <c r="G74" s="282" t="n">
        <v>46146</v>
      </c>
      <c r="H74" s="283" t="n">
        <v>17404</v>
      </c>
      <c r="I74" s="284" t="n">
        <v>1474.9</v>
      </c>
      <c r="J74" s="285" t="n">
        <v>25669160</v>
      </c>
      <c r="K74" s="285" t="n">
        <v>25669160</v>
      </c>
      <c r="L74" s="285" t="n">
        <v>10147</v>
      </c>
      <c r="M74" s="285" t="n">
        <v>6494</v>
      </c>
      <c r="N74" s="279" t="inlineStr">
        <is>
          <t>EW (CGV 동백 외)</t>
        </is>
      </c>
      <c r="O74" s="282" t="inlineStr">
        <is>
          <t>-</t>
        </is>
      </c>
      <c r="P74" s="279" t="inlineStr">
        <is>
          <t>-</t>
        </is>
      </c>
      <c r="Q74" s="286">
        <f>IF(P74="","",IFERROR(VLOOKUP(O74,FxRateTable,4,TRUE),""))</f>
        <v/>
      </c>
      <c r="R74" s="283">
        <f>IF(P74="","",H74)</f>
        <v/>
      </c>
      <c r="S74" s="285" t="n">
        <v>0</v>
      </c>
      <c r="T74" s="285" t="n">
        <v>0</v>
      </c>
      <c r="U74" s="281" t="n"/>
      <c r="V74" s="279" t="inlineStr">
        <is>
          <t>-</t>
        </is>
      </c>
      <c r="W74" s="285" t="n">
        <v>0</v>
      </c>
      <c r="X74" s="280" t="inlineStr">
        <is>
          <t>-</t>
        </is>
      </c>
      <c r="Y74" s="285" t="n">
        <v>0</v>
      </c>
      <c r="Z74" s="285">
        <f>S74+W74</f>
        <v/>
      </c>
      <c r="AA74" s="285">
        <f>K74+L74+M74+IFERROR(VLOOKUP(B74,RemitTable2,9,FALSE),0)+Y74+Z74</f>
        <v/>
      </c>
      <c r="AB74" s="287" t="n">
        <v>1</v>
      </c>
      <c r="AC74" s="285">
        <f>ROUND(AA74/AB74,0)</f>
        <v/>
      </c>
      <c r="AD74" s="279" t="inlineStr">
        <is>
          <t>2026-04</t>
        </is>
      </c>
      <c r="AE74" s="282" t="n">
        <v>46113</v>
      </c>
      <c r="AF74" s="281" t="n">
        <v>46477</v>
      </c>
    </row>
    <row r="75" ht="15.75" customHeight="1">
      <c r="A75" s="288" t="n">
        <v>71</v>
      </c>
      <c r="B75" s="288" t="inlineStr">
        <is>
          <t>GPO478</t>
        </is>
      </c>
      <c r="C75" s="288" t="inlineStr">
        <is>
          <t>GDC</t>
        </is>
      </c>
      <c r="D75" s="288" t="inlineStr">
        <is>
          <t>Net 30 days</t>
        </is>
      </c>
      <c r="E75" s="288" t="inlineStr">
        <is>
          <t>라이센스</t>
        </is>
      </c>
      <c r="F75" s="289" t="n">
        <v>46127</v>
      </c>
      <c r="G75" s="289" t="n">
        <v>46161</v>
      </c>
      <c r="H75" s="290" t="n">
        <v>180</v>
      </c>
      <c r="I75" s="291" t="n">
        <v>1518.9</v>
      </c>
      <c r="J75" s="292" t="n">
        <v>273402</v>
      </c>
      <c r="K75" s="292" t="n">
        <v>273402</v>
      </c>
      <c r="L75" s="292" t="n">
        <v>2500</v>
      </c>
      <c r="M75" s="292" t="n">
        <v>8000</v>
      </c>
      <c r="N75" s="288" t="n"/>
      <c r="O75" s="289" t="n"/>
      <c r="P75" s="288" t="n"/>
      <c r="Q75" s="293">
        <f>IF(P75="","",IFERROR(VLOOKUP(O75,FxRateTable,4,TRUE),""))</f>
        <v/>
      </c>
      <c r="R75" s="290">
        <f>IF(P75="","",H75)</f>
        <v/>
      </c>
      <c r="S75" s="292" t="n">
        <v>0</v>
      </c>
      <c r="T75" s="292" t="n">
        <v>0</v>
      </c>
      <c r="U75" s="289" t="n"/>
      <c r="V75" s="288" t="n"/>
      <c r="W75" s="292" t="n">
        <v>0</v>
      </c>
      <c r="X75" s="288" t="inlineStr">
        <is>
          <t>-</t>
        </is>
      </c>
      <c r="Y75" s="292" t="n">
        <v>0</v>
      </c>
      <c r="Z75" s="292">
        <f>S75+W75</f>
        <v/>
      </c>
      <c r="AA75" s="292">
        <f>K75+L75+M75+IFERROR(VLOOKUP(B75,RemitTable2,9,FALSE),0)+Y75+Z75</f>
        <v/>
      </c>
      <c r="AB75" s="294" t="n">
        <v>2</v>
      </c>
      <c r="AC75" s="292">
        <f>ROUND(AA75/AB75,0)</f>
        <v/>
      </c>
      <c r="AD75" s="288" t="inlineStr">
        <is>
          <t>2026-05</t>
        </is>
      </c>
      <c r="AE75" s="289" t="n">
        <v>46143</v>
      </c>
      <c r="AF75" s="289" t="n">
        <v>46507</v>
      </c>
    </row>
    <row r="76" ht="15.75" customHeight="1">
      <c r="A76" s="288" t="n">
        <v>72</v>
      </c>
      <c r="B76" s="288" t="inlineStr">
        <is>
          <t>GPO475</t>
        </is>
      </c>
      <c r="C76" s="288" t="inlineStr">
        <is>
          <t>GDC</t>
        </is>
      </c>
      <c r="D76" s="288" t="inlineStr">
        <is>
          <t>Net 30 days</t>
        </is>
      </c>
      <c r="E76" s="288" t="inlineStr">
        <is>
          <t>라이센스</t>
        </is>
      </c>
      <c r="F76" s="289" t="n">
        <v>46127</v>
      </c>
      <c r="G76" s="289" t="n">
        <v>46190</v>
      </c>
      <c r="H76" s="290" t="n">
        <v>540</v>
      </c>
      <c r="I76" s="291" t="n">
        <v>1516.8</v>
      </c>
      <c r="J76" s="292" t="n">
        <v>819072</v>
      </c>
      <c r="K76" s="292" t="n">
        <v>819072</v>
      </c>
      <c r="L76" s="292" t="n">
        <v>1985</v>
      </c>
      <c r="M76" s="292" t="n">
        <v>2118</v>
      </c>
      <c r="N76" s="288" t="inlineStr">
        <is>
          <t>TMS-1000 License 6 screens (CGV 안동)</t>
        </is>
      </c>
      <c r="O76" s="289" t="n"/>
      <c r="P76" s="288" t="n"/>
      <c r="Q76" s="293">
        <f>IF(P76="","",IFERROR(VLOOKUP(O76,FxRateTable,4,TRUE),""))</f>
        <v/>
      </c>
      <c r="R76" s="290">
        <f>IF(P76="","",H76)</f>
        <v/>
      </c>
      <c r="S76" s="292" t="n">
        <v>0</v>
      </c>
      <c r="T76" s="292" t="n">
        <v>0</v>
      </c>
      <c r="U76" s="289" t="n"/>
      <c r="V76" s="288" t="n"/>
      <c r="W76" s="292" t="n">
        <v>0</v>
      </c>
      <c r="X76" s="288" t="inlineStr">
        <is>
          <t>-</t>
        </is>
      </c>
      <c r="Y76" s="292" t="n">
        <v>0</v>
      </c>
      <c r="Z76" s="292">
        <f>S76+W76</f>
        <v/>
      </c>
      <c r="AA76" s="292">
        <f>K76+L76+M76+IFERROR(VLOOKUP(B76,RemitTable2,9,FALSE),0)+Y76+Z76</f>
        <v/>
      </c>
      <c r="AB76" s="294" t="n">
        <v>6</v>
      </c>
      <c r="AC76" s="292">
        <f>ROUND(AA76/AB76,0)</f>
        <v/>
      </c>
      <c r="AD76" s="288" t="inlineStr">
        <is>
          <t>2026-05</t>
        </is>
      </c>
      <c r="AE76" s="289" t="n">
        <v>46143</v>
      </c>
      <c r="AF76" s="289" t="n">
        <v>46507</v>
      </c>
    </row>
    <row r="77" ht="15.75" customHeight="1">
      <c r="A77" s="295" t="n">
        <v>73</v>
      </c>
      <c r="B77" s="295" t="inlineStr">
        <is>
          <t>CPO693-2</t>
        </is>
      </c>
      <c r="C77" s="295" t="inlineStr">
        <is>
          <t>Christie</t>
        </is>
      </c>
      <c r="D77" s="295" t="inlineStr">
        <is>
          <t>Net 45 days</t>
        </is>
      </c>
      <c r="E77" s="295" t="inlineStr">
        <is>
          <t>워런티(EW)</t>
        </is>
      </c>
      <c r="F77" s="296" t="n">
        <v>46133</v>
      </c>
      <c r="G77" s="296" t="inlineStr">
        <is>
          <t>-</t>
        </is>
      </c>
      <c r="H77" s="297" t="n">
        <v>2550</v>
      </c>
      <c r="I77" s="298">
        <f>IFERROR(VLOOKUP(B77,RemitTable2,7,FALSE),0)</f>
        <v/>
      </c>
      <c r="J77" s="299" t="n">
        <v>0</v>
      </c>
      <c r="K77" s="299">
        <f>IFERROR(ROUND(H77*I77,0),0)</f>
        <v/>
      </c>
      <c r="L77" s="299">
        <f>IFERROR(VLOOKUP(B77,RemitTable2,10,FALSE),0)</f>
        <v/>
      </c>
      <c r="M77" s="299">
        <f>IFERROR(VLOOKUP(B77,RemitTable2,11,FALSE),0)</f>
        <v/>
      </c>
      <c r="N77" s="295" t="inlineStr">
        <is>
          <t>CP4420-RGB 2년 워런티 (CGV 구미)</t>
        </is>
      </c>
      <c r="O77" s="296" t="inlineStr">
        <is>
          <t>-</t>
        </is>
      </c>
      <c r="P77" s="295" t="inlineStr">
        <is>
          <t>-</t>
        </is>
      </c>
      <c r="Q77" s="300">
        <f>IF(P77="","",IFERROR(VLOOKUP(O77,FxRateTable,4,TRUE),""))</f>
        <v/>
      </c>
      <c r="R77" s="297">
        <f>IF(P77="","",H77)</f>
        <v/>
      </c>
      <c r="S77" s="299" t="n">
        <v>0</v>
      </c>
      <c r="T77" s="299" t="n">
        <v>0</v>
      </c>
      <c r="U77" s="296" t="n"/>
      <c r="V77" s="295" t="inlineStr">
        <is>
          <t>-</t>
        </is>
      </c>
      <c r="W77" s="299" t="n">
        <v>0</v>
      </c>
      <c r="X77" s="295" t="inlineStr">
        <is>
          <t>-</t>
        </is>
      </c>
      <c r="Y77" s="299" t="n">
        <v>0</v>
      </c>
      <c r="Z77" s="299">
        <f>S77+W77</f>
        <v/>
      </c>
      <c r="AA77" s="299">
        <f>K77+L77+M77+IFERROR(VLOOKUP(B77,RemitTable2,9,FALSE),0)+Y77+Z77</f>
        <v/>
      </c>
      <c r="AB77" s="301" t="n">
        <v>1</v>
      </c>
      <c r="AC77" s="299">
        <f>ROUND(AA77/AB77,0)</f>
        <v/>
      </c>
      <c r="AD77" s="295" t="inlineStr">
        <is>
          <t>2026-04</t>
        </is>
      </c>
      <c r="AE77" s="296" t="n">
        <v>46142</v>
      </c>
      <c r="AF77" s="296" t="n">
        <v>46872</v>
      </c>
    </row>
    <row r="78" ht="15.75" customHeight="1">
      <c r="A78" s="295" t="n">
        <v>74</v>
      </c>
      <c r="B78" s="295" t="inlineStr">
        <is>
          <t>CPO697</t>
        </is>
      </c>
      <c r="C78" s="295" t="inlineStr">
        <is>
          <t>Christie</t>
        </is>
      </c>
      <c r="D78" s="295" t="inlineStr">
        <is>
          <t>Net 45 days</t>
        </is>
      </c>
      <c r="E78" s="295" t="inlineStr">
        <is>
          <t>워런티(EW)</t>
        </is>
      </c>
      <c r="F78" s="296" t="n">
        <v>46136</v>
      </c>
      <c r="G78" s="296" t="n">
        <v>46171</v>
      </c>
      <c r="H78" s="297" t="n">
        <v>15289</v>
      </c>
      <c r="I78" s="298" t="n">
        <v>1502.7</v>
      </c>
      <c r="J78" s="299" t="n">
        <v>22974780</v>
      </c>
      <c r="K78" s="299" t="n">
        <v>22974780</v>
      </c>
      <c r="L78" s="299" t="n">
        <v>1880</v>
      </c>
      <c r="M78" s="299" t="n">
        <v>1203</v>
      </c>
      <c r="N78" s="295" t="inlineStr">
        <is>
          <t>EW CP4425/CP2308/CP2315/CP2309/CP2320 13대 (메가박스 북대구 외)</t>
        </is>
      </c>
      <c r="O78" s="296" t="inlineStr">
        <is>
          <t>-</t>
        </is>
      </c>
      <c r="P78" s="295" t="inlineStr">
        <is>
          <t>-</t>
        </is>
      </c>
      <c r="Q78" s="300">
        <f>IF(P78="","",IFERROR(VLOOKUP(O78,FxRateTable,4,TRUE),""))</f>
        <v/>
      </c>
      <c r="R78" s="297">
        <f>IF(P78="","",H78)</f>
        <v/>
      </c>
      <c r="S78" s="299" t="n">
        <v>0</v>
      </c>
      <c r="T78" s="299" t="n">
        <v>0</v>
      </c>
      <c r="U78" s="296" t="n"/>
      <c r="V78" s="295" t="inlineStr">
        <is>
          <t>-</t>
        </is>
      </c>
      <c r="W78" s="299" t="n">
        <v>0</v>
      </c>
      <c r="X78" s="295" t="inlineStr">
        <is>
          <t>-</t>
        </is>
      </c>
      <c r="Y78" s="299" t="n">
        <v>0</v>
      </c>
      <c r="Z78" s="299">
        <f>S78+W78</f>
        <v/>
      </c>
      <c r="AA78" s="299">
        <f>K78+L78+M78+IFERROR(VLOOKUP(B78,RemitTable2,9,FALSE),0)+Y78+Z78</f>
        <v/>
      </c>
      <c r="AB78" s="301" t="n">
        <v>1</v>
      </c>
      <c r="AC78" s="299">
        <f>ROUND(AA78/AB78,0)</f>
        <v/>
      </c>
      <c r="AD78" s="295" t="inlineStr">
        <is>
          <t>2026-05</t>
        </is>
      </c>
      <c r="AE78" s="296" t="n">
        <v>46168</v>
      </c>
      <c r="AF78" s="296" t="n">
        <v>46532</v>
      </c>
    </row>
    <row r="79" ht="15.75" customHeight="1">
      <c r="A79" s="288" t="n">
        <v>75</v>
      </c>
      <c r="B79" s="288" t="inlineStr">
        <is>
          <t>GPO480</t>
        </is>
      </c>
      <c r="C79" s="288" t="inlineStr">
        <is>
          <t>GDC</t>
        </is>
      </c>
      <c r="D79" s="288" t="inlineStr">
        <is>
          <t>Net 30 days</t>
        </is>
      </c>
      <c r="E79" s="288" t="inlineStr">
        <is>
          <t>라이센스</t>
        </is>
      </c>
      <c r="F79" s="289" t="n">
        <v>46137</v>
      </c>
      <c r="G79" s="289" t="n">
        <v>46171</v>
      </c>
      <c r="H79" s="290" t="n">
        <v>250</v>
      </c>
      <c r="I79" s="291" t="n">
        <v>1502.8</v>
      </c>
      <c r="J79" s="292" t="n">
        <v>375700</v>
      </c>
      <c r="K79" s="292" t="n">
        <v>375700</v>
      </c>
      <c r="L79" s="292" t="n">
        <v>32</v>
      </c>
      <c r="M79" s="292" t="n">
        <v>20</v>
      </c>
      <c r="N79" s="288" t="n"/>
      <c r="O79" s="289" t="n"/>
      <c r="P79" s="288" t="n"/>
      <c r="Q79" s="293">
        <f>IF(P79="","",IFERROR(VLOOKUP(O79,FxRateTable,4,TRUE),""))</f>
        <v/>
      </c>
      <c r="R79" s="290">
        <f>IF(P79="","",H79)</f>
        <v/>
      </c>
      <c r="S79" s="292" t="n">
        <v>0</v>
      </c>
      <c r="T79" s="292" t="n">
        <v>0</v>
      </c>
      <c r="U79" s="289" t="n"/>
      <c r="V79" s="288" t="n"/>
      <c r="W79" s="292" t="n">
        <v>0</v>
      </c>
      <c r="X79" s="288" t="inlineStr">
        <is>
          <t>-</t>
        </is>
      </c>
      <c r="Y79" s="292" t="n">
        <v>0</v>
      </c>
      <c r="Z79" s="292">
        <f>S79+W79</f>
        <v/>
      </c>
      <c r="AA79" s="292">
        <f>K79+L79+M79+IFERROR(VLOOKUP(B79,RemitTable2,9,FALSE),0)+Y79+Z79</f>
        <v/>
      </c>
      <c r="AB79" s="294" t="n">
        <v>1</v>
      </c>
      <c r="AC79" s="292">
        <f>ROUND(AA79/AB79,0)</f>
        <v/>
      </c>
      <c r="AD79" s="288" t="inlineStr">
        <is>
          <t>2026-05</t>
        </is>
      </c>
      <c r="AE79" s="289" t="n">
        <v>46143</v>
      </c>
      <c r="AF79" s="289" t="n">
        <v>49795</v>
      </c>
    </row>
    <row r="80" ht="15.75" customHeight="1">
      <c r="A80" s="288" t="n">
        <v>76</v>
      </c>
      <c r="B80" s="288" t="inlineStr">
        <is>
          <t>GPO481</t>
        </is>
      </c>
      <c r="C80" s="288" t="inlineStr">
        <is>
          <t>GDC</t>
        </is>
      </c>
      <c r="D80" s="288" t="inlineStr">
        <is>
          <t>Net 30 days</t>
        </is>
      </c>
      <c r="E80" s="288" t="inlineStr">
        <is>
          <t>라이센스</t>
        </is>
      </c>
      <c r="F80" s="289" t="n">
        <v>46152</v>
      </c>
      <c r="G80" s="289" t="n">
        <v>46183</v>
      </c>
      <c r="H80" s="290" t="n">
        <v>500</v>
      </c>
      <c r="I80" s="291" t="n">
        <v>1525.3</v>
      </c>
      <c r="J80" s="292" t="n">
        <v>762650</v>
      </c>
      <c r="K80" s="292" t="n">
        <v>762650</v>
      </c>
      <c r="L80" s="292" t="n">
        <v>52</v>
      </c>
      <c r="M80" s="292" t="n">
        <v>34</v>
      </c>
      <c r="N80" s="288" t="n"/>
      <c r="O80" s="289" t="n"/>
      <c r="P80" s="288" t="n"/>
      <c r="Q80" s="293">
        <f>IF(P80="","",IFERROR(VLOOKUP(O80,FxRateTable,4,TRUE),""))</f>
        <v/>
      </c>
      <c r="R80" s="290">
        <f>IF(P80="","",H80)</f>
        <v/>
      </c>
      <c r="S80" s="292" t="n">
        <v>0</v>
      </c>
      <c r="T80" s="292" t="n">
        <v>0</v>
      </c>
      <c r="U80" s="289" t="n"/>
      <c r="V80" s="288" t="n"/>
      <c r="W80" s="292" t="n">
        <v>0</v>
      </c>
      <c r="X80" s="288" t="inlineStr">
        <is>
          <t>-</t>
        </is>
      </c>
      <c r="Y80" s="292" t="n">
        <v>0</v>
      </c>
      <c r="Z80" s="292">
        <f>S80+W80</f>
        <v/>
      </c>
      <c r="AA80" s="292">
        <f>K80+L80+M80+IFERROR(VLOOKUP(B80,RemitTable2,9,FALSE),0)+Y80+Z80</f>
        <v/>
      </c>
      <c r="AB80" s="294" t="n">
        <v>1</v>
      </c>
      <c r="AC80" s="292">
        <f>ROUND(AA80/AB80,0)</f>
        <v/>
      </c>
      <c r="AD80" s="288" t="inlineStr">
        <is>
          <t>2026-06</t>
        </is>
      </c>
      <c r="AE80" s="289" t="inlineStr">
        <is>
          <t>-</t>
        </is>
      </c>
      <c r="AF80" s="289" t="inlineStr">
        <is>
          <t>-</t>
        </is>
      </c>
    </row>
    <row r="81" ht="15.75" customHeight="1">
      <c r="A81" s="288" t="n">
        <v>77</v>
      </c>
      <c r="B81" s="288" t="inlineStr">
        <is>
          <t>CPO700</t>
        </is>
      </c>
      <c r="C81" s="288" t="inlineStr">
        <is>
          <t>Christie</t>
        </is>
      </c>
      <c r="D81" s="288" t="inlineStr">
        <is>
          <t>Net 45 days</t>
        </is>
      </c>
      <c r="E81" s="288" t="inlineStr">
        <is>
          <t>워런티(EW)</t>
        </is>
      </c>
      <c r="F81" s="289" t="n">
        <v>46160</v>
      </c>
      <c r="G81" s="289" t="n">
        <v>46241</v>
      </c>
      <c r="H81" s="290" t="n">
        <v>1114</v>
      </c>
      <c r="I81" s="291" t="n">
        <v>1429.8</v>
      </c>
      <c r="J81" s="292" t="n">
        <v>1592797</v>
      </c>
      <c r="K81" s="292" t="n">
        <v>1592797</v>
      </c>
      <c r="L81" s="292" t="n">
        <v>412</v>
      </c>
      <c r="M81" s="292" t="n">
        <v>263</v>
      </c>
      <c r="N81" s="288" t="inlineStr">
        <is>
          <t>EW CP2215 1대 (CGV 대전가수원, S/N 484582013)</t>
        </is>
      </c>
      <c r="O81" s="289" t="n"/>
      <c r="P81" s="288" t="n"/>
      <c r="Q81" s="293">
        <f>IF(P81="","",IFERROR(VLOOKUP(O81,FxRateTable,4,TRUE),""))</f>
        <v/>
      </c>
      <c r="R81" s="290">
        <f>IF(P81="","",H81)</f>
        <v/>
      </c>
      <c r="S81" s="292" t="n">
        <v>0</v>
      </c>
      <c r="T81" s="292" t="n">
        <v>0</v>
      </c>
      <c r="U81" s="289" t="n"/>
      <c r="V81" s="288" t="inlineStr">
        <is>
          <t>-</t>
        </is>
      </c>
      <c r="W81" s="292" t="n">
        <v>0</v>
      </c>
      <c r="X81" s="288" t="inlineStr">
        <is>
          <t>-</t>
        </is>
      </c>
      <c r="Y81" s="292" t="n">
        <v>0</v>
      </c>
      <c r="Z81" s="292">
        <f>S81+W81</f>
        <v/>
      </c>
      <c r="AA81" s="292">
        <f>K81+L81+M81+IFERROR(VLOOKUP(B81,RemitTable2,9,FALSE),0)+Y81+Z81</f>
        <v/>
      </c>
      <c r="AB81" s="294" t="n">
        <v>1</v>
      </c>
      <c r="AC81" s="292">
        <f>ROUND(AA81/AB81,0)</f>
        <v/>
      </c>
      <c r="AD81" s="288" t="inlineStr">
        <is>
          <t>2026-05</t>
        </is>
      </c>
      <c r="AE81" s="289" t="n">
        <v>46169</v>
      </c>
      <c r="AF81" s="289" t="n">
        <v>46752</v>
      </c>
    </row>
    <row r="82" ht="15.75" customHeight="1">
      <c r="A82" s="288" t="n">
        <v>78</v>
      </c>
      <c r="B82" s="288" t="inlineStr">
        <is>
          <t>CPO702</t>
        </is>
      </c>
      <c r="C82" s="288" t="inlineStr">
        <is>
          <t>Christie</t>
        </is>
      </c>
      <c r="D82" s="288" t="inlineStr">
        <is>
          <t>Net 45 days</t>
        </is>
      </c>
      <c r="E82" s="288" t="inlineStr">
        <is>
          <t>워런티(EW)</t>
        </is>
      </c>
      <c r="F82" s="289" t="n">
        <v>46181</v>
      </c>
      <c r="G82" s="289" t="n">
        <v>46241</v>
      </c>
      <c r="H82" s="290" t="n">
        <v>32715</v>
      </c>
      <c r="I82" s="291" t="n">
        <v>1429.8</v>
      </c>
      <c r="J82" s="292" t="n">
        <v>46775907</v>
      </c>
      <c r="K82" s="292" t="n">
        <v>46775907</v>
      </c>
      <c r="L82" s="292" t="n">
        <v>12088</v>
      </c>
      <c r="M82" s="292" t="n">
        <v>7737</v>
      </c>
      <c r="N82" s="288" t="inlineStr">
        <is>
          <t>EW CP2215/CP2309-RGB 25대 (롯데 영천/CineQ 청라/CGV 동두천 외)</t>
        </is>
      </c>
      <c r="O82" s="289" t="n"/>
      <c r="P82" s="288" t="n"/>
      <c r="Q82" s="293">
        <f>IF(P82="","",IFERROR(VLOOKUP(O82,FxRateTable,4,TRUE),""))</f>
        <v/>
      </c>
      <c r="R82" s="290">
        <f>IF(P82="","",H82)</f>
        <v/>
      </c>
      <c r="S82" s="292" t="n">
        <v>0</v>
      </c>
      <c r="T82" s="292" t="n">
        <v>0</v>
      </c>
      <c r="U82" s="289" t="n"/>
      <c r="V82" s="288" t="inlineStr">
        <is>
          <t>-</t>
        </is>
      </c>
      <c r="W82" s="292" t="n">
        <v>0</v>
      </c>
      <c r="X82" s="288" t="inlineStr">
        <is>
          <t>-</t>
        </is>
      </c>
      <c r="Y82" s="292" t="n">
        <v>0</v>
      </c>
      <c r="Z82" s="292">
        <f>S82+W82</f>
        <v/>
      </c>
      <c r="AA82" s="292">
        <f>K82+L82+M82+IFERROR(VLOOKUP(B82,RemitTable2,9,FALSE),0)+Y82+Z82</f>
        <v/>
      </c>
      <c r="AB82" s="294" t="n">
        <v>25</v>
      </c>
      <c r="AC82" s="292">
        <f>ROUND(AA82/AB82,0)</f>
        <v/>
      </c>
      <c r="AD82" s="288" t="inlineStr">
        <is>
          <t>2026-06</t>
        </is>
      </c>
      <c r="AE82" s="289" t="n">
        <v>46192</v>
      </c>
      <c r="AF82" s="289" t="n">
        <v>46752</v>
      </c>
    </row>
    <row r="83" ht="15.75" customHeight="1">
      <c r="A83" s="288" t="n">
        <v>79</v>
      </c>
      <c r="B83" s="288" t="inlineStr">
        <is>
          <t>GPO486</t>
        </is>
      </c>
      <c r="C83" s="288" t="inlineStr">
        <is>
          <t>GDC</t>
        </is>
      </c>
      <c r="D83" s="288" t="inlineStr">
        <is>
          <t>Net 30 days</t>
        </is>
      </c>
      <c r="E83" s="288" t="inlineStr">
        <is>
          <t>라이센스</t>
        </is>
      </c>
      <c r="F83" s="289" t="n">
        <v>46182</v>
      </c>
      <c r="G83" s="289" t="inlineStr">
        <is>
          <t>-</t>
        </is>
      </c>
      <c r="H83" s="290" t="n">
        <v>450</v>
      </c>
      <c r="I83" s="291" t="n">
        <v>0</v>
      </c>
      <c r="J83" s="292" t="n">
        <v>0</v>
      </c>
      <c r="K83" s="292" t="n">
        <v>0</v>
      </c>
      <c r="L83" s="292" t="n">
        <v>0</v>
      </c>
      <c r="M83" s="292" t="n">
        <v>0</v>
      </c>
      <c r="N83" s="288" t="inlineStr">
        <is>
          <t>TMS-1000 License Extension 5screens (메가박스 경산 하양)</t>
        </is>
      </c>
      <c r="O83" s="289" t="n"/>
      <c r="P83" s="288" t="n"/>
      <c r="Q83" s="293">
        <f>IF(P83="","",IFERROR(VLOOKUP(O83,FxRateTable,4,TRUE),""))</f>
        <v/>
      </c>
      <c r="R83" s="290">
        <f>IF(P83="","",H83)</f>
        <v/>
      </c>
      <c r="S83" s="292" t="n">
        <v>0</v>
      </c>
      <c r="T83" s="292" t="n">
        <v>0</v>
      </c>
      <c r="U83" s="289" t="n"/>
      <c r="V83" s="288" t="inlineStr">
        <is>
          <t>-</t>
        </is>
      </c>
      <c r="W83" s="292" t="n">
        <v>0</v>
      </c>
      <c r="X83" s="288" t="inlineStr">
        <is>
          <t>-</t>
        </is>
      </c>
      <c r="Y83" s="292" t="n">
        <v>0</v>
      </c>
      <c r="Z83" s="292">
        <f>S83+W83</f>
        <v/>
      </c>
      <c r="AA83" s="292">
        <f>K83+L83+M83+IFERROR(VLOOKUP(B83,RemitTable2,9,FALSE),0)+Y83+Z83</f>
        <v/>
      </c>
      <c r="AB83" s="294" t="n">
        <v>5</v>
      </c>
      <c r="AC83" s="292">
        <f>ROUND(AA83/AB83,0)</f>
        <v/>
      </c>
      <c r="AD83" s="288" t="inlineStr">
        <is>
          <t>2026-07</t>
        </is>
      </c>
      <c r="AE83" s="289" t="n">
        <v>46204</v>
      </c>
      <c r="AF83" s="289" t="n">
        <v>46568</v>
      </c>
    </row>
    <row r="84" ht="15.75" customHeight="1">
      <c r="A84" s="288" t="n">
        <v>80</v>
      </c>
      <c r="B84" s="288" t="inlineStr">
        <is>
          <t>GPO484</t>
        </is>
      </c>
      <c r="C84" s="288" t="inlineStr">
        <is>
          <t>GDC</t>
        </is>
      </c>
      <c r="D84" s="288" t="inlineStr">
        <is>
          <t>Net 30 days</t>
        </is>
      </c>
      <c r="E84" s="288" t="inlineStr">
        <is>
          <t>워런티(EW)</t>
        </is>
      </c>
      <c r="F84" s="289" t="n">
        <v>46183</v>
      </c>
      <c r="G84" s="289" t="inlineStr">
        <is>
          <t>-</t>
        </is>
      </c>
      <c r="H84" s="290" t="n">
        <v>7407.81</v>
      </c>
      <c r="I84" s="291" t="n">
        <v>0</v>
      </c>
      <c r="J84" s="292" t="n">
        <v>0</v>
      </c>
      <c r="K84" s="292" t="n">
        <v>0</v>
      </c>
      <c r="L84" s="292" t="n">
        <v>0</v>
      </c>
      <c r="M84" s="292" t="n">
        <v>0</v>
      </c>
      <c r="N84" s="288" t="inlineStr">
        <is>
          <t>SR-1000/SX-4000 Warranty Ext 11대 (CGV 진주혁신/합천/구례)</t>
        </is>
      </c>
      <c r="O84" s="289" t="n"/>
      <c r="P84" s="288" t="n"/>
      <c r="Q84" s="293">
        <f>IF(P84="","",IFERROR(VLOOKUP(O84,FxRateTable,4,TRUE),""))</f>
        <v/>
      </c>
      <c r="R84" s="290">
        <f>IF(P84="","",H84)</f>
        <v/>
      </c>
      <c r="S84" s="292" t="n">
        <v>0</v>
      </c>
      <c r="T84" s="292" t="n">
        <v>0</v>
      </c>
      <c r="U84" s="289" t="n"/>
      <c r="V84" s="288" t="inlineStr">
        <is>
          <t>-</t>
        </is>
      </c>
      <c r="W84" s="292" t="n">
        <v>0</v>
      </c>
      <c r="X84" s="288" t="inlineStr">
        <is>
          <t>-</t>
        </is>
      </c>
      <c r="Y84" s="292" t="n">
        <v>0</v>
      </c>
      <c r="Z84" s="292">
        <f>S84+W84</f>
        <v/>
      </c>
      <c r="AA84" s="292">
        <f>K84+L84+M84+IFERROR(VLOOKUP(B84,RemitTable2,9,FALSE),0)+Y84+Z84</f>
        <v/>
      </c>
      <c r="AB84" s="294" t="n">
        <v>11</v>
      </c>
      <c r="AC84" s="292">
        <f>ROUND(AA84/AB84,0)</f>
        <v/>
      </c>
      <c r="AD84" s="288" t="inlineStr">
        <is>
          <t>2026-05</t>
        </is>
      </c>
      <c r="AE84" s="289" t="n">
        <v>46156</v>
      </c>
      <c r="AF84" s="289" t="n">
        <v>46752</v>
      </c>
    </row>
    <row r="85" ht="15.75" customHeight="1">
      <c r="A85" s="288" t="n">
        <v>81</v>
      </c>
      <c r="B85" s="288" t="inlineStr">
        <is>
          <t>GPO489</t>
        </is>
      </c>
      <c r="C85" s="288" t="inlineStr">
        <is>
          <t>GDC</t>
        </is>
      </c>
      <c r="D85" s="288" t="inlineStr">
        <is>
          <t>Net 30 days</t>
        </is>
      </c>
      <c r="E85" s="288" t="inlineStr">
        <is>
          <t>라이센스</t>
        </is>
      </c>
      <c r="F85" s="289" t="n">
        <v>46196</v>
      </c>
      <c r="G85" s="289" t="inlineStr">
        <is>
          <t>-</t>
        </is>
      </c>
      <c r="H85" s="290" t="n">
        <v>3320</v>
      </c>
      <c r="I85" s="291" t="n">
        <v>0</v>
      </c>
      <c r="J85" s="292" t="n">
        <v>0</v>
      </c>
      <c r="K85" s="292" t="n">
        <v>0</v>
      </c>
      <c r="L85" s="292" t="n">
        <v>0</v>
      </c>
      <c r="M85" s="292" t="n">
        <v>0</v>
      </c>
      <c r="N85" s="288" t="inlineStr">
        <is>
          <t>TMS License 7사이트 32screens (메가박스 삼천포/CGV 대구수성 외)</t>
        </is>
      </c>
      <c r="O85" s="289" t="n"/>
      <c r="P85" s="288" t="n"/>
      <c r="Q85" s="293">
        <f>IF(P85="","",IFERROR(VLOOKUP(O85,FxRateTable,4,TRUE),""))</f>
        <v/>
      </c>
      <c r="R85" s="290">
        <f>IF(P85="","",H85)</f>
        <v/>
      </c>
      <c r="S85" s="292" t="n">
        <v>0</v>
      </c>
      <c r="T85" s="292" t="n">
        <v>0</v>
      </c>
      <c r="U85" s="289" t="n"/>
      <c r="V85" s="288" t="inlineStr">
        <is>
          <t>-</t>
        </is>
      </c>
      <c r="W85" s="292" t="n">
        <v>0</v>
      </c>
      <c r="X85" s="288" t="inlineStr">
        <is>
          <t>-</t>
        </is>
      </c>
      <c r="Y85" s="292" t="n">
        <v>0</v>
      </c>
      <c r="Z85" s="292">
        <f>S85+W85</f>
        <v/>
      </c>
      <c r="AA85" s="292">
        <f>K85+L85+M85+IFERROR(VLOOKUP(B85,RemitTable2,9,FALSE),0)+Y85+Z85</f>
        <v/>
      </c>
      <c r="AB85" s="294" t="n">
        <v>32</v>
      </c>
      <c r="AC85" s="292">
        <f>ROUND(AA85/AB85,0)</f>
        <v/>
      </c>
      <c r="AD85" s="288" t="inlineStr">
        <is>
          <t>2026-07</t>
        </is>
      </c>
      <c r="AE85" s="289" t="n">
        <v>46204</v>
      </c>
      <c r="AF85" s="289" t="n">
        <v>46568</v>
      </c>
    </row>
    <row r="86" ht="15.75" customHeight="1">
      <c r="A86" s="288" t="n">
        <v>82</v>
      </c>
      <c r="B86" s="288" t="inlineStr">
        <is>
          <t>GPO487</t>
        </is>
      </c>
      <c r="C86" s="288" t="inlineStr">
        <is>
          <t>GDC</t>
        </is>
      </c>
      <c r="D86" s="288" t="inlineStr">
        <is>
          <t>Net 30 days</t>
        </is>
      </c>
      <c r="E86" s="288" t="inlineStr">
        <is>
          <t>워런티(EW)</t>
        </is>
      </c>
      <c r="F86" s="289" t="inlineStr">
        <is>
          <t>-</t>
        </is>
      </c>
      <c r="G86" s="289" t="inlineStr">
        <is>
          <t>-</t>
        </is>
      </c>
      <c r="H86" s="290" t="n">
        <v>5309</v>
      </c>
      <c r="I86" s="291">
        <f>IFERROR(VLOOKUP(B86,RemitTable2,7,FALSE),0)</f>
        <v/>
      </c>
      <c r="J86" s="292" t="n">
        <v>0</v>
      </c>
      <c r="K86" s="292">
        <f>IFERROR(ROUND(H86*I86,0),0)</f>
        <v/>
      </c>
      <c r="L86" s="292">
        <f>IFERROR(VLOOKUP(B86,RemitTable2,10,FALSE),0)</f>
        <v/>
      </c>
      <c r="M86" s="292">
        <f>IFERROR(VLOOKUP(B86,RemitTable2,11,FALSE),0)</f>
        <v/>
      </c>
      <c r="N86" s="288" t="inlineStr">
        <is>
          <t>SX-3000 EW 133대 (롯데, gross 33,309 차감 보상판매 Credit 28,000)</t>
        </is>
      </c>
      <c r="O86" s="289" t="inlineStr">
        <is>
          <t>-</t>
        </is>
      </c>
      <c r="P86" s="288" t="inlineStr">
        <is>
          <t>-</t>
        </is>
      </c>
      <c r="Q86" s="293">
        <f>IF(P86="","",IFERROR(VLOOKUP(O86,FxRateTable,4,TRUE),""))</f>
        <v/>
      </c>
      <c r="R86" s="290">
        <f>IF(P86="","",H86)</f>
        <v/>
      </c>
      <c r="S86" s="292" t="n">
        <v>0</v>
      </c>
      <c r="T86" s="292" t="n">
        <v>0</v>
      </c>
      <c r="U86" s="289" t="n"/>
      <c r="V86" s="288" t="inlineStr">
        <is>
          <t>-</t>
        </is>
      </c>
      <c r="W86" s="292" t="n">
        <v>0</v>
      </c>
      <c r="X86" s="288" t="inlineStr">
        <is>
          <t>-</t>
        </is>
      </c>
      <c r="Y86" s="292" t="n">
        <v>0</v>
      </c>
      <c r="Z86" s="292">
        <f>S86+W86</f>
        <v/>
      </c>
      <c r="AA86" s="292">
        <f>K86+L86+M86+IFERROR(VLOOKUP(B86,RemitTable2,9,FALSE),0)+Y86+Z86</f>
        <v/>
      </c>
      <c r="AB86" s="294" t="n">
        <v>133</v>
      </c>
      <c r="AC86" s="292">
        <f>ROUND(AA86/AB86,0)</f>
        <v/>
      </c>
      <c r="AD86" s="288" t="inlineStr">
        <is>
          <t>2026-07</t>
        </is>
      </c>
      <c r="AE86" s="289" t="n">
        <v>46204</v>
      </c>
      <c r="AF86" s="289" t="n">
        <v>46387</v>
      </c>
    </row>
    <row r="87" ht="15.75" customHeight="1">
      <c r="A87" s="288" t="n">
        <v>83</v>
      </c>
      <c r="B87" s="288" t="inlineStr">
        <is>
          <t>CPO704</t>
        </is>
      </c>
      <c r="C87" s="288" t="inlineStr">
        <is>
          <t>Christie</t>
        </is>
      </c>
      <c r="D87" s="288" t="inlineStr">
        <is>
          <t>Net 45 days</t>
        </is>
      </c>
      <c r="E87" s="288" t="inlineStr">
        <is>
          <t>워런티(EW)</t>
        </is>
      </c>
      <c r="F87" s="289" t="inlineStr">
        <is>
          <t>-</t>
        </is>
      </c>
      <c r="G87" s="289" t="n">
        <v>46265</v>
      </c>
      <c r="H87" s="290" t="n">
        <v>29258</v>
      </c>
      <c r="I87" s="291" t="n">
        <v>1374.2</v>
      </c>
      <c r="J87" s="292" t="n">
        <v>40206344</v>
      </c>
      <c r="K87" s="292" t="n">
        <v>40206344</v>
      </c>
      <c r="L87" s="292" t="n">
        <v>10539</v>
      </c>
      <c r="M87" s="292" t="n">
        <v>6745</v>
      </c>
      <c r="N87" s="288" t="inlineStr">
        <is>
          <t>EW 13대 (롯데 동탄 외 위탁 지점, CP4415/CP2215 등) 계약기간 2026-07-02~2027-12-31</t>
        </is>
      </c>
      <c r="O87" s="289" t="inlineStr">
        <is>
          <t>-</t>
        </is>
      </c>
      <c r="P87" s="288" t="inlineStr">
        <is>
          <t>-</t>
        </is>
      </c>
      <c r="Q87" s="293">
        <f>IF(P87="","",IFERROR(VLOOKUP(O87,FxRateTable,4,TRUE),""))</f>
        <v/>
      </c>
      <c r="R87" s="290">
        <f>IF(P87="","",H87)</f>
        <v/>
      </c>
      <c r="S87" s="292" t="n">
        <v>0</v>
      </c>
      <c r="T87" s="292" t="n">
        <v>0</v>
      </c>
      <c r="U87" s="289" t="n"/>
      <c r="V87" s="288" t="inlineStr">
        <is>
          <t>-</t>
        </is>
      </c>
      <c r="W87" s="292" t="n">
        <v>0</v>
      </c>
      <c r="X87" s="288" t="inlineStr">
        <is>
          <t>-</t>
        </is>
      </c>
      <c r="Y87" s="292" t="n">
        <v>0</v>
      </c>
      <c r="Z87" s="292">
        <f>S87+W87</f>
        <v/>
      </c>
      <c r="AA87" s="292">
        <f>K87+L87+M87+IFERROR(VLOOKUP(B87,RemitTable2,9,FALSE),0)+Y87+Z87</f>
        <v/>
      </c>
      <c r="AB87" s="294" t="n">
        <v>13</v>
      </c>
      <c r="AC87" s="292">
        <f>ROUND(AA87/AB87,0)</f>
        <v/>
      </c>
      <c r="AD87" s="288" t="inlineStr">
        <is>
          <t>2026-07</t>
        </is>
      </c>
      <c r="AE87" s="289" t="n">
        <v>46205</v>
      </c>
      <c r="AF87" s="289" t="n">
        <v>46752</v>
      </c>
    </row>
    <row r="88" ht="15.75" customHeight="1">
      <c r="A88" s="288" t="n">
        <v>84</v>
      </c>
      <c r="B88" s="288" t="inlineStr">
        <is>
          <t>GPO490</t>
        </is>
      </c>
      <c r="C88" s="288" t="inlineStr">
        <is>
          <t>GDC</t>
        </is>
      </c>
      <c r="D88" s="288" t="inlineStr">
        <is>
          <t>Net 30 days</t>
        </is>
      </c>
      <c r="E88" s="288" t="inlineStr">
        <is>
          <t>라이센스</t>
        </is>
      </c>
      <c r="F88" s="289" t="inlineStr">
        <is>
          <t>-</t>
        </is>
      </c>
      <c r="G88" s="289" t="inlineStr">
        <is>
          <t>-</t>
        </is>
      </c>
      <c r="H88" s="290" t="n">
        <v>1800</v>
      </c>
      <c r="I88" s="291">
        <f>IFERROR(VLOOKUP(B88,RemitTable2,7,FALSE),0)</f>
        <v/>
      </c>
      <c r="J88" s="292" t="n">
        <v>0</v>
      </c>
      <c r="K88" s="292">
        <f>IFERROR(ROUND(H88*I88,0),0)</f>
        <v/>
      </c>
      <c r="L88" s="292">
        <f>IFERROR(VLOOKUP(B88,RemitTable2,10,FALSE),0)</f>
        <v/>
      </c>
      <c r="M88" s="292">
        <f>IFERROR(VLOOKUP(B88,RemitTable2,11,FALSE),0)</f>
        <v/>
      </c>
      <c r="N88" s="288" t="inlineStr">
        <is>
          <t>TMS License 1년 연장 20screens (메가박스 제주삼화 5 / 홍성내포 5 / CGV 이천 10)</t>
        </is>
      </c>
      <c r="O88" s="289" t="n"/>
      <c r="P88" s="288" t="n"/>
      <c r="Q88" s="293">
        <f>IF(P88="","",IFERROR(VLOOKUP(O88,FxRateTable,4,TRUE),""))</f>
        <v/>
      </c>
      <c r="R88" s="290">
        <f>IF(P88="","",H88)</f>
        <v/>
      </c>
      <c r="S88" s="292" t="n">
        <v>0</v>
      </c>
      <c r="T88" s="292" t="n">
        <v>0</v>
      </c>
      <c r="U88" s="289" t="n"/>
      <c r="V88" s="288" t="inlineStr">
        <is>
          <t>-</t>
        </is>
      </c>
      <c r="W88" s="292" t="n">
        <v>0</v>
      </c>
      <c r="X88" s="288" t="inlineStr">
        <is>
          <t>-</t>
        </is>
      </c>
      <c r="Y88" s="292" t="n">
        <v>0</v>
      </c>
      <c r="Z88" s="292">
        <f>S88+W88</f>
        <v/>
      </c>
      <c r="AA88" s="292">
        <f>K88+L88+M88+IFERROR(VLOOKUP(B88,RemitTable2,9,FALSE),0)+Y88+Z88</f>
        <v/>
      </c>
      <c r="AB88" s="294" t="n">
        <v>20</v>
      </c>
      <c r="AC88" s="292">
        <f>ROUND(AA88/AB88,0)</f>
        <v/>
      </c>
      <c r="AD88" s="288" t="inlineStr">
        <is>
          <t>2026-07</t>
        </is>
      </c>
      <c r="AE88" s="289" t="n">
        <v>46204</v>
      </c>
      <c r="AF88" s="289" t="n">
        <v>46568</v>
      </c>
    </row>
    <row r="89" ht="15.75" customHeight="1">
      <c r="A89" s="288" t="n">
        <v>85</v>
      </c>
      <c r="B89" s="288" t="inlineStr">
        <is>
          <t>GPO492</t>
        </is>
      </c>
      <c r="C89" s="288" t="inlineStr">
        <is>
          <t>GDC</t>
        </is>
      </c>
      <c r="D89" s="288" t="inlineStr">
        <is>
          <t>Net 30 days</t>
        </is>
      </c>
      <c r="E89" s="288" t="inlineStr">
        <is>
          <t>라이센스</t>
        </is>
      </c>
      <c r="F89" s="289" t="inlineStr">
        <is>
          <t>-</t>
        </is>
      </c>
      <c r="G89" s="289" t="inlineStr">
        <is>
          <t>-</t>
        </is>
      </c>
      <c r="H89" s="290" t="n">
        <v>1800</v>
      </c>
      <c r="I89" s="291">
        <f>IFERROR(VLOOKUP(B89,RemitTable2,7,FALSE),0)</f>
        <v/>
      </c>
      <c r="J89" s="292" t="n">
        <v>0</v>
      </c>
      <c r="K89" s="292">
        <f>IFERROR(ROUND(H89*I89,0),0)</f>
        <v/>
      </c>
      <c r="L89" s="292">
        <f>IFERROR(VLOOKUP(B89,RemitTable2,10,FALSE),0)</f>
        <v/>
      </c>
      <c r="M89" s="292">
        <f>IFERROR(VLOOKUP(B89,RemitTable2,11,FALSE),0)</f>
        <v/>
      </c>
      <c r="N89" s="288" t="inlineStr">
        <is>
          <t>TMS License 1년 연장 20screens (JOY N CINEMA 5 / CGV 구미 10 / CGV 광주충장로 5)</t>
        </is>
      </c>
      <c r="O89" s="289" t="n"/>
      <c r="P89" s="288" t="n"/>
      <c r="Q89" s="293">
        <f>IF(P89="","",IFERROR(VLOOKUP(O89,FxRateTable,4,TRUE),""))</f>
        <v/>
      </c>
      <c r="R89" s="290">
        <f>IF(P89="","",H89)</f>
        <v/>
      </c>
      <c r="S89" s="292" t="n">
        <v>0</v>
      </c>
      <c r="T89" s="292" t="n">
        <v>0</v>
      </c>
      <c r="U89" s="289" t="n"/>
      <c r="V89" s="288" t="inlineStr">
        <is>
          <t>-</t>
        </is>
      </c>
      <c r="W89" s="292" t="n">
        <v>0</v>
      </c>
      <c r="X89" s="288" t="inlineStr">
        <is>
          <t>-</t>
        </is>
      </c>
      <c r="Y89" s="292" t="n">
        <v>0</v>
      </c>
      <c r="Z89" s="292">
        <f>S89+W89</f>
        <v/>
      </c>
      <c r="AA89" s="292">
        <f>K89+L89+M89+IFERROR(VLOOKUP(B89,RemitTable2,9,FALSE),0)+Y89+Z89</f>
        <v/>
      </c>
      <c r="AB89" s="294" t="n">
        <v>20</v>
      </c>
      <c r="AC89" s="292">
        <f>ROUND(AA89/AB89,0)</f>
        <v/>
      </c>
      <c r="AD89" s="288" t="inlineStr">
        <is>
          <t>2026-07</t>
        </is>
      </c>
      <c r="AE89" s="289" t="n">
        <v>46204</v>
      </c>
      <c r="AF89" s="289" t="n">
        <v>46568</v>
      </c>
    </row>
    <row r="90" ht="15.75" customHeight="1">
      <c r="A90" s="288" t="n">
        <v>86</v>
      </c>
      <c r="B90" s="288" t="inlineStr">
        <is>
          <t>GPO494</t>
        </is>
      </c>
      <c r="C90" s="288" t="inlineStr">
        <is>
          <t>GDC</t>
        </is>
      </c>
      <c r="D90" s="288" t="inlineStr">
        <is>
          <t>Net 30 days</t>
        </is>
      </c>
      <c r="E90" s="288" t="inlineStr">
        <is>
          <t>워런티(EW)</t>
        </is>
      </c>
      <c r="F90" s="289" t="inlineStr">
        <is>
          <t>-</t>
        </is>
      </c>
      <c r="G90" s="289" t="inlineStr">
        <is>
          <t>-</t>
        </is>
      </c>
      <c r="H90" s="290" t="n">
        <v>11955.52</v>
      </c>
      <c r="I90" s="291">
        <f>IFERROR(VLOOKUP(B90,RemitTable2,7,FALSE),0)</f>
        <v/>
      </c>
      <c r="J90" s="292" t="n">
        <v>0</v>
      </c>
      <c r="K90" s="292">
        <f>IFERROR(ROUND(H90*I90,0),0)</f>
        <v/>
      </c>
      <c r="L90" s="292">
        <f>IFERROR(VLOOKUP(B90,RemitTable2,10,FALSE),0)</f>
        <v/>
      </c>
      <c r="M90" s="292">
        <f>IFERROR(VLOOKUP(B90,RemitTable2,11,FALSE),0)</f>
        <v/>
      </c>
      <c r="N90" s="288" t="inlineStr">
        <is>
          <t>SR-1000 Warranty Extension 22대 (롯데 구미센트럴 7 / CGV 대전가수원 5 / 금산시네마 2 / RNR 8)</t>
        </is>
      </c>
      <c r="O90" s="289" t="n"/>
      <c r="P90" s="288" t="n"/>
      <c r="Q90" s="293">
        <f>IF(P90="","",IFERROR(VLOOKUP(O90,FxRateTable,4,TRUE),""))</f>
        <v/>
      </c>
      <c r="R90" s="290">
        <f>IF(P90="","",H90)</f>
        <v/>
      </c>
      <c r="S90" s="292" t="n">
        <v>0</v>
      </c>
      <c r="T90" s="292" t="n">
        <v>0</v>
      </c>
      <c r="U90" s="289" t="n"/>
      <c r="V90" s="288" t="inlineStr">
        <is>
          <t>-</t>
        </is>
      </c>
      <c r="W90" s="292" t="n">
        <v>0</v>
      </c>
      <c r="X90" s="288" t="inlineStr">
        <is>
          <t>-</t>
        </is>
      </c>
      <c r="Y90" s="292" t="n">
        <v>0</v>
      </c>
      <c r="Z90" s="292">
        <f>S90+W90</f>
        <v/>
      </c>
      <c r="AA90" s="292">
        <f>K90+L90+M90+IFERROR(VLOOKUP(B90,RemitTable2,9,FALSE),0)+Y90+Z90</f>
        <v/>
      </c>
      <c r="AB90" s="294" t="n">
        <v>22</v>
      </c>
      <c r="AC90" s="292">
        <f>ROUND(AA90/AB90,0)</f>
        <v/>
      </c>
      <c r="AD90" s="288" t="inlineStr">
        <is>
          <t>2026-07</t>
        </is>
      </c>
      <c r="AE90" s="289" t="n">
        <v>46219</v>
      </c>
      <c r="AF90" s="289" t="n">
        <v>46752</v>
      </c>
    </row>
    <row r="91" ht="15.75" customHeight="1">
      <c r="A91" s="288" t="n">
        <v>87</v>
      </c>
      <c r="B91" s="288" t="inlineStr">
        <is>
          <t>GPO495</t>
        </is>
      </c>
      <c r="C91" s="288" t="inlineStr">
        <is>
          <t>GDC</t>
        </is>
      </c>
      <c r="D91" s="288" t="inlineStr">
        <is>
          <t>Net 30 days</t>
        </is>
      </c>
      <c r="E91" s="288" t="inlineStr">
        <is>
          <t>라이센스</t>
        </is>
      </c>
      <c r="F91" s="289" t="inlineStr">
        <is>
          <t>-</t>
        </is>
      </c>
      <c r="G91" s="289" t="inlineStr">
        <is>
          <t>-</t>
        </is>
      </c>
      <c r="H91" s="290" t="n">
        <v>810</v>
      </c>
      <c r="I91" s="291">
        <f>IFERROR(VLOOKUP(B91,RemitTable2,7,FALSE),0)</f>
        <v/>
      </c>
      <c r="J91" s="292" t="n">
        <v>0</v>
      </c>
      <c r="K91" s="292">
        <f>IFERROR(ROUND(H91*I91,0),0)</f>
        <v/>
      </c>
      <c r="L91" s="292">
        <f>IFERROR(VLOOKUP(B91,RemitTable2,10,FALSE),0)</f>
        <v/>
      </c>
      <c r="M91" s="292">
        <f>IFERROR(VLOOKUP(B91,RemitTable2,11,FALSE),0)</f>
        <v/>
      </c>
      <c r="N91" s="288" t="inlineStr">
        <is>
          <t>TMS-1000 License 1년 연장 9screens (CGV 동백)</t>
        </is>
      </c>
      <c r="O91" s="289" t="n"/>
      <c r="P91" s="288" t="n"/>
      <c r="Q91" s="293">
        <f>IF(P91="","",IFERROR(VLOOKUP(O91,FxRateTable,4,TRUE),""))</f>
        <v/>
      </c>
      <c r="R91" s="290">
        <f>IF(P91="","",H91)</f>
        <v/>
      </c>
      <c r="S91" s="292" t="n">
        <v>0</v>
      </c>
      <c r="T91" s="292" t="n">
        <v>0</v>
      </c>
      <c r="U91" s="289" t="n"/>
      <c r="V91" s="288" t="inlineStr">
        <is>
          <t>-</t>
        </is>
      </c>
      <c r="W91" s="292" t="n">
        <v>0</v>
      </c>
      <c r="X91" s="288" t="inlineStr">
        <is>
          <t>-</t>
        </is>
      </c>
      <c r="Y91" s="292" t="n">
        <v>0</v>
      </c>
      <c r="Z91" s="292">
        <f>S91+W91</f>
        <v/>
      </c>
      <c r="AA91" s="292">
        <f>K91+L91+M91+IFERROR(VLOOKUP(B91,RemitTable2,9,FALSE),0)+Y91+Z91</f>
        <v/>
      </c>
      <c r="AB91" s="294" t="n">
        <v>9</v>
      </c>
      <c r="AC91" s="292">
        <f>ROUND(AA91/AB91,0)</f>
        <v/>
      </c>
      <c r="AD91" s="288" t="inlineStr">
        <is>
          <t>2026-07</t>
        </is>
      </c>
      <c r="AE91" s="289" t="n">
        <v>46204</v>
      </c>
      <c r="AF91" s="289" t="n">
        <v>46568</v>
      </c>
    </row>
    <row r="92" ht="15.75" customHeight="1">
      <c r="A92" s="288" t="n">
        <v>88</v>
      </c>
      <c r="B92" s="288" t="inlineStr">
        <is>
          <t>GPO496</t>
        </is>
      </c>
      <c r="C92" s="288" t="inlineStr">
        <is>
          <t>GDC</t>
        </is>
      </c>
      <c r="D92" s="288" t="inlineStr">
        <is>
          <t>Net 30 days</t>
        </is>
      </c>
      <c r="E92" s="288" t="inlineStr">
        <is>
          <t>워런티(EW)</t>
        </is>
      </c>
      <c r="F92" s="289" t="inlineStr">
        <is>
          <t>-</t>
        </is>
      </c>
      <c r="G92" s="289" t="inlineStr">
        <is>
          <t>-</t>
        </is>
      </c>
      <c r="H92" s="290" t="n">
        <v>3312</v>
      </c>
      <c r="I92" s="291">
        <f>IFERROR(VLOOKUP(B92,RemitTable2,7,FALSE),0)</f>
        <v/>
      </c>
      <c r="J92" s="292" t="n">
        <v>0</v>
      </c>
      <c r="K92" s="292">
        <f>IFERROR(ROUND(H92*I92,0),0)</f>
        <v/>
      </c>
      <c r="L92" s="292">
        <f>IFERROR(VLOOKUP(B92,RemitTable2,10,FALSE),0)</f>
        <v/>
      </c>
      <c r="M92" s="292">
        <f>IFERROR(VLOOKUP(B92,RemitTable2,11,FALSE),0)</f>
        <v/>
      </c>
      <c r="N92" s="288" t="inlineStr">
        <is>
          <t>SR-1000 16개월 Warranty Extension 6대 (롯데 프리미엄 경남대, S/N A78703~A78708)</t>
        </is>
      </c>
      <c r="O92" s="289" t="n"/>
      <c r="P92" s="288" t="n"/>
      <c r="Q92" s="293">
        <f>IF(P92="","",IFERROR(VLOOKUP(O92,FxRateTable,4,TRUE),""))</f>
        <v/>
      </c>
      <c r="R92" s="290">
        <f>IF(P92="","",H92)</f>
        <v/>
      </c>
      <c r="S92" s="292" t="n">
        <v>0</v>
      </c>
      <c r="T92" s="292" t="n">
        <v>0</v>
      </c>
      <c r="U92" s="289" t="n"/>
      <c r="V92" s="288" t="inlineStr">
        <is>
          <t>-</t>
        </is>
      </c>
      <c r="W92" s="292" t="n">
        <v>0</v>
      </c>
      <c r="X92" s="288" t="inlineStr">
        <is>
          <t>-</t>
        </is>
      </c>
      <c r="Y92" s="292" t="n">
        <v>0</v>
      </c>
      <c r="Z92" s="292">
        <f>S92+W92</f>
        <v/>
      </c>
      <c r="AA92" s="292">
        <f>K92+L92+M92+IFERROR(VLOOKUP(B92,RemitTable2,9,FALSE),0)+Y92+Z92</f>
        <v/>
      </c>
      <c r="AB92" s="294" t="n">
        <v>6</v>
      </c>
      <c r="AC92" s="292">
        <f>ROUND(AA92/AB92,0)</f>
        <v/>
      </c>
      <c r="AD92" s="288" t="inlineStr">
        <is>
          <t>2026-09</t>
        </is>
      </c>
      <c r="AE92" s="289" t="n">
        <v>46266</v>
      </c>
      <c r="AF92" s="289" t="n">
        <v>46752</v>
      </c>
    </row>
    <row r="93" ht="15.75" customHeight="1">
      <c r="A93" s="288" t="n">
        <v>89</v>
      </c>
      <c r="B93" s="288" t="inlineStr">
        <is>
          <t>GPO497</t>
        </is>
      </c>
      <c r="C93" s="288" t="inlineStr">
        <is>
          <t>GDC</t>
        </is>
      </c>
      <c r="D93" s="288" t="inlineStr">
        <is>
          <t>Net 30 days</t>
        </is>
      </c>
      <c r="E93" s="288" t="inlineStr">
        <is>
          <t>워런티(EW)</t>
        </is>
      </c>
      <c r="F93" s="289" t="inlineStr">
        <is>
          <t>-</t>
        </is>
      </c>
      <c r="G93" s="289" t="inlineStr">
        <is>
          <t>-</t>
        </is>
      </c>
      <c r="H93" s="290" t="n">
        <v>6408</v>
      </c>
      <c r="I93" s="291">
        <f>IFERROR(VLOOKUP(B93,RemitTable2,7,FALSE),0)</f>
        <v/>
      </c>
      <c r="J93" s="292" t="n">
        <v>0</v>
      </c>
      <c r="K93" s="292">
        <f>IFERROR(ROUND(H93*I93,0),0)</f>
        <v/>
      </c>
      <c r="L93" s="292">
        <f>IFERROR(VLOOKUP(B93,RemitTable2,10,FALSE),0)</f>
        <v/>
      </c>
      <c r="M93" s="292">
        <f>IFERROR(VLOOKUP(B93,RemitTable2,11,FALSE),0)</f>
        <v/>
      </c>
      <c r="N93" s="288" t="inlineStr">
        <is>
          <t>LPU-1000 3년 Warranty Extension 1대 (독립기념관, S/N A53922)</t>
        </is>
      </c>
      <c r="O93" s="289" t="n"/>
      <c r="P93" s="288" t="n"/>
      <c r="Q93" s="293">
        <f>IF(P93="","",IFERROR(VLOOKUP(O93,FxRateTable,4,TRUE),""))</f>
        <v/>
      </c>
      <c r="R93" s="290">
        <f>IF(P93="","",H93)</f>
        <v/>
      </c>
      <c r="S93" s="292" t="n">
        <v>0</v>
      </c>
      <c r="T93" s="292" t="n">
        <v>0</v>
      </c>
      <c r="U93" s="289" t="n"/>
      <c r="V93" s="288" t="inlineStr">
        <is>
          <t>-</t>
        </is>
      </c>
      <c r="W93" s="292" t="n">
        <v>0</v>
      </c>
      <c r="X93" s="288" t="inlineStr">
        <is>
          <t>-</t>
        </is>
      </c>
      <c r="Y93" s="292" t="n">
        <v>0</v>
      </c>
      <c r="Z93" s="292">
        <f>S93+W93</f>
        <v/>
      </c>
      <c r="AA93" s="292">
        <f>K93+L93+M93+IFERROR(VLOOKUP(B93,RemitTable2,9,FALSE),0)+Y93+Z93</f>
        <v/>
      </c>
      <c r="AB93" s="294" t="n">
        <v>1</v>
      </c>
      <c r="AC93" s="292">
        <f>ROUND(AA93/AB93,0)</f>
        <v/>
      </c>
      <c r="AD93" s="288" t="inlineStr">
        <is>
          <t>2023-09</t>
        </is>
      </c>
      <c r="AE93" s="289" t="n">
        <v>45170</v>
      </c>
      <c r="AF93" s="289" t="n">
        <v>46265</v>
      </c>
    </row>
    <row r="94" ht="15.75" customHeight="1">
      <c r="A94" s="288" t="n">
        <v>90</v>
      </c>
      <c r="B94" s="288" t="inlineStr">
        <is>
          <t>GPO498</t>
        </is>
      </c>
      <c r="C94" s="288" t="inlineStr">
        <is>
          <t>GDC</t>
        </is>
      </c>
      <c r="D94" s="288" t="inlineStr">
        <is>
          <t>Net 30 days</t>
        </is>
      </c>
      <c r="E94" s="288" t="inlineStr">
        <is>
          <t>라이센스</t>
        </is>
      </c>
      <c r="F94" s="289" t="inlineStr">
        <is>
          <t>-</t>
        </is>
      </c>
      <c r="G94" s="289" t="inlineStr">
        <is>
          <t>-</t>
        </is>
      </c>
      <c r="H94" s="290" t="n">
        <v>900</v>
      </c>
      <c r="I94" s="291">
        <f>IFERROR(VLOOKUP(B94,RemitTable2,7,FALSE),0)</f>
        <v/>
      </c>
      <c r="J94" s="292" t="n">
        <v>0</v>
      </c>
      <c r="K94" s="292">
        <f>IFERROR(ROUND(H94*I94,0),0)</f>
        <v/>
      </c>
      <c r="L94" s="292">
        <f>IFERROR(VLOOKUP(B94,RemitTable2,10,FALSE),0)</f>
        <v/>
      </c>
      <c r="M94" s="292">
        <f>IFERROR(VLOOKUP(B94,RemitTable2,11,FALSE),0)</f>
        <v/>
      </c>
      <c r="N94" s="288" t="inlineStr">
        <is>
          <t>TMS License 연장 8screens (CGV 해운대 TMS-1000 6, 2026-09-01~2027-08-31 / Alps Cinema TMS-2000 2년 2, 2026-06-01~2028-05-31)</t>
        </is>
      </c>
      <c r="O94" s="289" t="n"/>
      <c r="P94" s="288" t="n"/>
      <c r="Q94" s="293">
        <f>IF(P94="","",IFERROR(VLOOKUP(O94,FxRateTable,4,TRUE),""))</f>
        <v/>
      </c>
      <c r="R94" s="290">
        <f>IF(P94="","",H94)</f>
        <v/>
      </c>
      <c r="S94" s="292" t="n">
        <v>0</v>
      </c>
      <c r="T94" s="292" t="n">
        <v>0</v>
      </c>
      <c r="U94" s="289" t="n"/>
      <c r="V94" s="288" t="inlineStr">
        <is>
          <t>-</t>
        </is>
      </c>
      <c r="W94" s="292" t="n">
        <v>0</v>
      </c>
      <c r="X94" s="288" t="inlineStr">
        <is>
          <t>-</t>
        </is>
      </c>
      <c r="Y94" s="292" t="n">
        <v>0</v>
      </c>
      <c r="Z94" s="292">
        <f>S94+W94</f>
        <v/>
      </c>
      <c r="AA94" s="292">
        <f>K94+L94+M94+IFERROR(VLOOKUP(B94,RemitTable2,9,FALSE),0)+Y94+Z94</f>
        <v/>
      </c>
      <c r="AB94" s="294" t="n">
        <v>8</v>
      </c>
      <c r="AC94" s="292">
        <f>ROUND(AA94/AB94,0)</f>
        <v/>
      </c>
      <c r="AD94" s="288" t="inlineStr">
        <is>
          <t>2026-06</t>
        </is>
      </c>
      <c r="AE94" s="289" t="n">
        <v>46174</v>
      </c>
      <c r="AF94" s="289" t="n">
        <v>46904</v>
      </c>
    </row>
    <row r="95" ht="15.75" customHeight="1">
      <c r="A95" s="253" t="n">
        <v>91</v>
      </c>
      <c r="B95" s="253" t="inlineStr">
        <is>
          <t>CPO688</t>
        </is>
      </c>
      <c r="C95" s="254" t="inlineStr">
        <is>
          <t>Christie</t>
        </is>
      </c>
      <c r="D95" s="253" t="inlineStr">
        <is>
          <t>Net 45 days</t>
        </is>
      </c>
      <c r="E95" s="254" t="inlineStr">
        <is>
          <t>Inspection</t>
        </is>
      </c>
      <c r="F95" s="255" t="n">
        <v>46037</v>
      </c>
      <c r="G95" s="256" t="inlineStr">
        <is>
          <t>-</t>
        </is>
      </c>
      <c r="H95" s="257" t="n">
        <v>4180</v>
      </c>
      <c r="I95" s="258">
        <f>IFERROR(VLOOKUP(B95,RemitTable2,7,FALSE),0)</f>
        <v/>
      </c>
      <c r="J95" s="259" t="n">
        <v>0</v>
      </c>
      <c r="K95" s="259">
        <f>IFERROR(ROUND(H95*I95,0),0)</f>
        <v/>
      </c>
      <c r="L95" s="259">
        <f>IFERROR(VLOOKUP(B95,RemitTable2,10,FALSE),0)</f>
        <v/>
      </c>
      <c r="M95" s="259">
        <f>IFERROR(VLOOKUP(B95,RemitTable2,11,FALSE),0)</f>
        <v/>
      </c>
      <c r="N95" s="253" t="inlineStr">
        <is>
          <t>Inspection fee</t>
        </is>
      </c>
      <c r="O95" s="256" t="inlineStr">
        <is>
          <t>-</t>
        </is>
      </c>
      <c r="P95" s="253" t="inlineStr">
        <is>
          <t>-</t>
        </is>
      </c>
      <c r="Q95" s="260">
        <f>IF(P95="","",IFERROR(VLOOKUP(O95,FxRateTable,4,TRUE),""))</f>
        <v/>
      </c>
      <c r="R95" s="257">
        <f>IF(P95="","",H95)</f>
        <v/>
      </c>
      <c r="S95" s="259" t="n">
        <v>0</v>
      </c>
      <c r="T95" s="259" t="n">
        <v>0</v>
      </c>
      <c r="U95" s="255" t="n"/>
      <c r="V95" s="253" t="inlineStr">
        <is>
          <t>-</t>
        </is>
      </c>
      <c r="W95" s="259" t="n">
        <v>0</v>
      </c>
      <c r="X95" s="254" t="inlineStr">
        <is>
          <t>-</t>
        </is>
      </c>
      <c r="Y95" s="259" t="n">
        <v>0</v>
      </c>
      <c r="Z95" s="259">
        <f>S95+W95</f>
        <v/>
      </c>
      <c r="AA95" s="259">
        <f>K95+L95+M95+IFERROR(VLOOKUP(B95,RemitTable2,9,FALSE),0)+Y95+Z95</f>
        <v/>
      </c>
      <c r="AB95" s="262" t="n">
        <v>1</v>
      </c>
      <c r="AC95" s="259">
        <f>ROUND(AA95/AB95,0)</f>
        <v/>
      </c>
      <c r="AD95" s="253" t="inlineStr">
        <is>
          <t>2026-01</t>
        </is>
      </c>
      <c r="AE95" s="256" t="inlineStr">
        <is>
          <t>-</t>
        </is>
      </c>
      <c r="AF95" s="255" t="inlineStr">
        <is>
          <t>-</t>
        </is>
      </c>
    </row>
    <row r="96" ht="15.75" customHeight="1">
      <c r="A96" s="302" t="n">
        <v>92</v>
      </c>
      <c r="B96" s="302" t="inlineStr">
        <is>
          <t>FRC-MONOPLEX26</t>
        </is>
      </c>
      <c r="C96" s="303" t="inlineStr">
        <is>
          <t>Ferco</t>
        </is>
      </c>
      <c r="D96" s="302" t="inlineStr">
        <is>
          <t>50% TT advance + 50% balance</t>
        </is>
      </c>
      <c r="E96" s="303" t="inlineStr">
        <is>
          <t>기타</t>
        </is>
      </c>
      <c r="F96" s="304" t="n">
        <v>46048</v>
      </c>
      <c r="G96" s="305" t="n">
        <v>46133</v>
      </c>
      <c r="H96" s="306" t="n">
        <v>51952</v>
      </c>
      <c r="I96" s="307">
        <f>IFERROR(VLOOKUP(B96,RemitTable2,7,FALSE),0)</f>
        <v/>
      </c>
      <c r="J96" s="308" t="n">
        <v>75818749</v>
      </c>
      <c r="K96" s="308" t="n">
        <v>75818749</v>
      </c>
      <c r="L96" s="308" t="n">
        <v>25000</v>
      </c>
      <c r="M96" s="308" t="n">
        <v>16000</v>
      </c>
      <c r="N96" s="302" t="inlineStr">
        <is>
          <t>Cinema Seat (Recliner) / 44 EA / Monoplex DH Bangbae</t>
        </is>
      </c>
      <c r="O96" s="305" t="n">
        <v>46153</v>
      </c>
      <c r="P96" s="302" t="inlineStr">
        <is>
          <t>14008-26-101147M</t>
        </is>
      </c>
      <c r="Q96" s="309">
        <f>IF(P96="","",IFERROR(VLOOKUP(O96,FxRateTable,4,TRUE),""))</f>
        <v/>
      </c>
      <c r="R96" s="306">
        <f>IF(P96="","",H96)</f>
        <v/>
      </c>
      <c r="S96" s="308" t="n">
        <v>31050</v>
      </c>
      <c r="T96" s="308" t="n">
        <v>7959560</v>
      </c>
      <c r="U96" s="304" t="n"/>
      <c r="V96" s="302" t="inlineStr">
        <is>
          <t>조운관세사무소</t>
        </is>
      </c>
      <c r="W96" s="308" t="n">
        <v>250000</v>
      </c>
      <c r="X96" s="303" t="inlineStr">
        <is>
          <t>진로직스</t>
        </is>
      </c>
      <c r="Y96" s="308" t="n">
        <v>5233502</v>
      </c>
      <c r="Z96" s="308">
        <f>S96+W96</f>
        <v/>
      </c>
      <c r="AA96" s="308">
        <f>K96+L96+M96+IFERROR(VLOOKUP(B96,RemitTable2,9,FALSE),0)+Y96+Z96</f>
        <v/>
      </c>
      <c r="AB96" s="310" t="n">
        <v>44</v>
      </c>
      <c r="AC96" s="308">
        <f>ROUND(AA96/AB96,0)</f>
        <v/>
      </c>
      <c r="AD96" s="302" t="inlineStr">
        <is>
          <t>2026-05</t>
        </is>
      </c>
      <c r="AE96" s="305" t="n"/>
      <c r="AF96" s="304" t="n"/>
    </row>
    <row r="97" ht="15.75" customHeight="1">
      <c r="A97" s="253" t="n">
        <v>93</v>
      </c>
      <c r="B97" s="253" t="inlineStr">
        <is>
          <t>GPO475-수리</t>
        </is>
      </c>
      <c r="C97" s="254" t="inlineStr">
        <is>
          <t>GDC</t>
        </is>
      </c>
      <c r="D97" s="253" t="inlineStr">
        <is>
          <t>Net 30 days</t>
        </is>
      </c>
      <c r="E97" s="254" t="inlineStr">
        <is>
          <t>수리</t>
        </is>
      </c>
      <c r="F97" s="255" t="n">
        <v>46126</v>
      </c>
      <c r="G97" s="256" t="n">
        <v>46190</v>
      </c>
      <c r="H97" s="257" t="n">
        <v>1500</v>
      </c>
      <c r="I97" s="258" t="n">
        <v>1516.8</v>
      </c>
      <c r="J97" s="259" t="n">
        <v>2275200</v>
      </c>
      <c r="K97" s="259" t="n">
        <v>2275200</v>
      </c>
      <c r="L97" s="259" t="n">
        <v>5515</v>
      </c>
      <c r="M97" s="259" t="n">
        <v>5882</v>
      </c>
      <c r="N97" s="253" t="inlineStr">
        <is>
          <t>SR-1000 IMB Inspection+Repair (SN A78267)</t>
        </is>
      </c>
      <c r="O97" s="256" t="n"/>
      <c r="P97" s="253" t="n"/>
      <c r="Q97" s="260">
        <f>IF(P97="","",IFERROR(VLOOKUP(O97,FxRateTable,4,TRUE),""))</f>
        <v/>
      </c>
      <c r="R97" s="257">
        <f>IF(P97="","",H97)</f>
        <v/>
      </c>
      <c r="S97" s="259" t="n">
        <v>0</v>
      </c>
      <c r="T97" s="259" t="n">
        <v>0</v>
      </c>
      <c r="U97" s="255" t="n"/>
      <c r="V97" s="253" t="n"/>
      <c r="W97" s="259" t="n">
        <v>0</v>
      </c>
      <c r="X97" s="254" t="inlineStr">
        <is>
          <t>-</t>
        </is>
      </c>
      <c r="Y97" s="259" t="n">
        <v>0</v>
      </c>
      <c r="Z97" s="259">
        <f>S97+W97</f>
        <v/>
      </c>
      <c r="AA97" s="259">
        <f>K97+L97+M97+IFERROR(VLOOKUP(B97,RemitTable2,9,FALSE),0)+Y97+Z97</f>
        <v/>
      </c>
      <c r="AB97" s="262" t="n">
        <v>1</v>
      </c>
      <c r="AC97" s="259">
        <f>ROUND(AA97/AB97,0)</f>
        <v/>
      </c>
      <c r="AD97" s="253" t="n"/>
      <c r="AE97" s="256" t="n"/>
      <c r="AF97" s="255" t="n"/>
    </row>
    <row r="98" ht="15.75" customHeight="1">
      <c r="A98" s="253" t="n">
        <v>94</v>
      </c>
      <c r="B98" s="253" t="inlineStr">
        <is>
          <t>PI44133</t>
        </is>
      </c>
      <c r="C98" s="254" t="inlineStr">
        <is>
          <t>Ferco (Figueras)</t>
        </is>
      </c>
      <c r="D98" s="253" t="inlineStr">
        <is>
          <t>20/60/20 T/T</t>
        </is>
      </c>
      <c r="E98" s="254" t="inlineStr">
        <is>
          <t>기타</t>
        </is>
      </c>
      <c r="F98" s="255" t="n">
        <v>46147</v>
      </c>
      <c r="G98" s="256" t="n">
        <v>46217</v>
      </c>
      <c r="H98" s="257" t="n">
        <v>22080</v>
      </c>
      <c r="I98" s="258">
        <f>IFERROR(VLOOKUP(B98,RemitTable2,7,FALSE),0)</f>
        <v/>
      </c>
      <c r="J98" s="259" t="n">
        <v>30295527</v>
      </c>
      <c r="K98" s="259" t="n">
        <v>30295527</v>
      </c>
      <c r="L98" s="259" t="n">
        <v>20000</v>
      </c>
      <c r="M98" s="259" t="n">
        <v>16000</v>
      </c>
      <c r="N98" s="253" t="inlineStr">
        <is>
          <t>RIVA 4031 Recliner Seat 16EA (EUR 22,080) / Monoplex DH Bangbae</t>
        </is>
      </c>
      <c r="O98" s="256" t="n">
        <v>46258</v>
      </c>
      <c r="P98" s="253" t="inlineStr">
        <is>
          <t>14008-26-101459M</t>
        </is>
      </c>
      <c r="Q98" s="260" t="n">
        <v>1634.42</v>
      </c>
      <c r="R98" s="257">
        <f>IF(P98="","",H98)</f>
        <v/>
      </c>
      <c r="S98" s="259" t="n">
        <v>0</v>
      </c>
      <c r="T98" s="259" t="n">
        <v>5548590</v>
      </c>
      <c r="U98" s="255" t="n"/>
      <c r="V98" s="253" t="inlineStr">
        <is>
          <t>조운관세사무소</t>
        </is>
      </c>
      <c r="W98" s="259" t="n">
        <v>121990</v>
      </c>
      <c r="X98" s="254" t="inlineStr">
        <is>
          <t>진로직스</t>
        </is>
      </c>
      <c r="Y98" s="259" t="n">
        <v>19900907</v>
      </c>
      <c r="Z98" s="259">
        <f>S98+W98</f>
        <v/>
      </c>
      <c r="AA98" s="259">
        <f>K98+L98+M98+IFERROR(VLOOKUP(B98,RemitTable2,9,FALSE),0)+Y98+Z98</f>
        <v/>
      </c>
      <c r="AB98" s="262" t="n">
        <v>16</v>
      </c>
      <c r="AC98" s="259">
        <f>ROUND(AA98/AB98,0)</f>
        <v/>
      </c>
      <c r="AD98" s="253" t="inlineStr">
        <is>
          <t>2026-08</t>
        </is>
      </c>
      <c r="AE98" s="256" t="inlineStr">
        <is>
          <t>-</t>
        </is>
      </c>
      <c r="AF98" s="255" t="inlineStr">
        <is>
          <t>-</t>
        </is>
      </c>
    </row>
    <row r="99" ht="15.75" customHeight="1">
      <c r="A99" s="253" t="n">
        <v>95</v>
      </c>
      <c r="B99" s="253" t="inlineStr">
        <is>
          <t>MLS20260814-01</t>
        </is>
      </c>
      <c r="C99" s="254" t="inlineStr">
        <is>
          <t>MLS (Shenzhen Mulinsen)</t>
        </is>
      </c>
      <c r="D99" s="253" t="inlineStr">
        <is>
          <t>100% TT in advance</t>
        </is>
      </c>
      <c r="E99" s="254" t="inlineStr">
        <is>
          <t>기타</t>
        </is>
      </c>
      <c r="F99" s="255" t="n">
        <v>46248</v>
      </c>
      <c r="G99" s="256" t="n">
        <v>46248</v>
      </c>
      <c r="H99" s="257" t="n">
        <v>2475</v>
      </c>
      <c r="I99" s="258" t="n">
        <v>1423.1</v>
      </c>
      <c r="J99" s="259" t="n">
        <v>3522173</v>
      </c>
      <c r="K99" s="259" t="n">
        <v>3522173</v>
      </c>
      <c r="L99" s="259" t="n">
        <v>7500</v>
      </c>
      <c r="M99" s="259" t="n">
        <v>8000</v>
      </c>
      <c r="N99" s="253" t="inlineStr">
        <is>
          <t>KC 인증용 LED 스크린 샘플 (COB P1.86 2SET + P0.93 2SET + Nova VX600 Pro 1SET)</t>
        </is>
      </c>
      <c r="O99" s="256" t="n">
        <v>46267</v>
      </c>
      <c r="P99" s="253" t="inlineStr">
        <is>
          <t>14008-26-101470M</t>
        </is>
      </c>
      <c r="Q99" s="260">
        <f>IF(P99="","",IFERROR(VLOOKUP(O99,FxRateTable,4,TRUE),""))</f>
        <v/>
      </c>
      <c r="R99" s="257">
        <f>IF(P99="","",H99)</f>
        <v/>
      </c>
      <c r="S99" s="259" t="n">
        <v>0</v>
      </c>
      <c r="T99" s="259" t="n">
        <v>386840</v>
      </c>
      <c r="U99" s="255" t="n"/>
      <c r="V99" s="253" t="inlineStr">
        <is>
          <t>조운관세사무소</t>
        </is>
      </c>
      <c r="W99" s="259" t="n">
        <v>154000</v>
      </c>
      <c r="X99" s="254" t="inlineStr">
        <is>
          <t>진로직스</t>
        </is>
      </c>
      <c r="Y99" s="259" t="n">
        <v>604742</v>
      </c>
      <c r="Z99" s="259">
        <f>S99+W99</f>
        <v/>
      </c>
      <c r="AA99" s="259">
        <f>K99+L99+M99+IFERROR(VLOOKUP(B99,RemitTable2,9,FALSE),0)+Y99+Z99</f>
        <v/>
      </c>
      <c r="AB99" s="262" t="n">
        <v>1</v>
      </c>
      <c r="AC99" s="259">
        <f>ROUND(AA99/AB99,0)</f>
        <v/>
      </c>
      <c r="AD99" s="253" t="inlineStr">
        <is>
          <t>2026-09</t>
        </is>
      </c>
      <c r="AE99" s="256" t="inlineStr">
        <is>
          <t>-</t>
        </is>
      </c>
      <c r="AF99" s="255" t="inlineStr">
        <is>
          <t>-</t>
        </is>
      </c>
    </row>
    <row r="100" ht="15.75" customHeight="1">
      <c r="A100" s="253" t="n">
        <v>96</v>
      </c>
      <c r="B100" s="253" t="inlineStr">
        <is>
          <t>SX3000수리</t>
        </is>
      </c>
      <c r="C100" s="254" t="inlineStr">
        <is>
          <t>GDC</t>
        </is>
      </c>
      <c r="D100" s="253" t="inlineStr">
        <is>
          <t>-</t>
        </is>
      </c>
      <c r="E100" s="254" t="inlineStr">
        <is>
          <t>수리반환</t>
        </is>
      </c>
      <c r="F100" s="255" t="n"/>
      <c r="G100" s="256" t="inlineStr">
        <is>
          <t>-</t>
        </is>
      </c>
      <c r="H100" s="257" t="n">
        <v>400</v>
      </c>
      <c r="I100" s="258">
        <f>IFERROR(VLOOKUP(B100,RemitTable2,7,FALSE),0)</f>
        <v/>
      </c>
      <c r="J100" s="259" t="n">
        <v>0</v>
      </c>
      <c r="K100" s="259">
        <f>IFERROR(ROUND(H100*I100,0),0)</f>
        <v/>
      </c>
      <c r="L100" s="259">
        <f>IFERROR(VLOOKUP(B100,RemitTable2,10,FALSE),0)</f>
        <v/>
      </c>
      <c r="M100" s="259">
        <f>IFERROR(VLOOKUP(B100,RemitTable2,11,FALSE),0)</f>
        <v/>
      </c>
      <c r="N100" s="253" t="inlineStr">
        <is>
          <t>Display Card (수리반환 5PCS)</t>
        </is>
      </c>
      <c r="O100" s="256" t="n">
        <v>46125</v>
      </c>
      <c r="P100" s="253" t="inlineStr">
        <is>
          <t>22356-26-351613M</t>
        </is>
      </c>
      <c r="Q100" s="260">
        <f>IF(P100="","",IFERROR(VLOOKUP(O100,FxRateTable,4,TRUE),""))</f>
        <v/>
      </c>
      <c r="R100" s="257">
        <f>IF(P100="","",H100)</f>
        <v/>
      </c>
      <c r="S100" s="259" t="n">
        <v>0</v>
      </c>
      <c r="T100" s="259" t="n">
        <v>67750</v>
      </c>
      <c r="U100" s="255" t="n"/>
      <c r="V100" s="253" t="inlineStr">
        <is>
          <t>운서합동</t>
        </is>
      </c>
      <c r="W100" s="259" t="n">
        <v>0</v>
      </c>
      <c r="X100" s="254" t="inlineStr">
        <is>
          <t>DHL</t>
        </is>
      </c>
      <c r="Y100" s="259" t="n">
        <v>216006</v>
      </c>
      <c r="Z100" s="259">
        <f>S100+W100</f>
        <v/>
      </c>
      <c r="AA100" s="259">
        <f>K100+L100+M100+IFERROR(VLOOKUP(B100,RemitTable2,9,FALSE),0)+Y100+Z100</f>
        <v/>
      </c>
      <c r="AB100" s="262" t="n">
        <v>5</v>
      </c>
      <c r="AC100" s="259">
        <f>ROUND(AA100/AB100,0)</f>
        <v/>
      </c>
      <c r="AD100" s="253" t="inlineStr">
        <is>
          <t>2026-04</t>
        </is>
      </c>
      <c r="AE100" s="256" t="n"/>
      <c r="AF100" s="255" t="n"/>
    </row>
    <row r="101">
      <c r="A101" s="149" t="inlineStr">
        <is>
          <t>장비/부품 합계</t>
        </is>
      </c>
      <c r="B101" s="219" t="n"/>
      <c r="C101" s="219" t="n"/>
      <c r="D101" s="219" t="n"/>
      <c r="E101" s="219" t="n"/>
      <c r="F101" s="219" t="n"/>
      <c r="G101" s="220" t="n"/>
      <c r="H101" s="164">
        <f>SUBTOTAL(9,H5:H57)</f>
        <v/>
      </c>
      <c r="I101" s="311" t="n"/>
      <c r="J101" s="164">
        <f>SUBTOTAL(9,J5:J55)</f>
        <v/>
      </c>
      <c r="K101" s="164">
        <f>SUBTOTAL(9,K5:K57)</f>
        <v/>
      </c>
      <c r="L101" s="164">
        <f>SUBTOTAL(9,L5:L57)</f>
        <v/>
      </c>
      <c r="M101" s="164">
        <f>SUBTOTAL(9,M5:M57)</f>
        <v/>
      </c>
      <c r="N101" s="311" t="n"/>
      <c r="O101" s="311" t="n"/>
      <c r="P101" s="311" t="n"/>
      <c r="Q101" s="164" t="n"/>
      <c r="R101" s="163" t="n"/>
      <c r="S101" s="164">
        <f>SUBTOTAL(9,S5:S57)</f>
        <v/>
      </c>
      <c r="T101" s="164">
        <f>SUBTOTAL(9,T5:T57)</f>
        <v/>
      </c>
      <c r="U101" s="149" t="n"/>
      <c r="V101" s="311" t="n"/>
      <c r="W101" s="164">
        <f>SUBTOTAL(9,W5:W57)</f>
        <v/>
      </c>
      <c r="X101" s="149" t="n"/>
      <c r="Y101" s="164">
        <f>SUBTOTAL(9,Y5:Y57)</f>
        <v/>
      </c>
      <c r="Z101" s="164">
        <f>SUBTOTAL(9,Z5:Z57)</f>
        <v/>
      </c>
      <c r="AA101" s="164">
        <f>SUBTOTAL(9,AA5:AA57)</f>
        <v/>
      </c>
      <c r="AB101" s="149" t="n"/>
      <c r="AC101" s="311" t="n"/>
      <c r="AD101" s="311" t="n"/>
      <c r="AE101" s="311" t="n"/>
      <c r="AF101" s="311" t="n"/>
    </row>
    <row r="102">
      <c r="A102" s="149" t="inlineStr">
        <is>
          <t>라이센스/워런티 합계</t>
        </is>
      </c>
      <c r="B102" s="219" t="n"/>
      <c r="C102" s="219" t="n"/>
      <c r="D102" s="219" t="n"/>
      <c r="E102" s="219" t="n"/>
      <c r="F102" s="219" t="n"/>
      <c r="G102" s="220" t="n"/>
      <c r="H102" s="164">
        <f>SUBTOTAL(9,H58:H94)</f>
        <v/>
      </c>
      <c r="I102" s="311" t="n"/>
      <c r="J102" s="164">
        <f>SUBTOTAL(9,J56:J85)</f>
        <v/>
      </c>
      <c r="K102" s="164">
        <f>SUBTOTAL(9,K58:K94)</f>
        <v/>
      </c>
      <c r="L102" s="164">
        <f>SUBTOTAL(9,L58:L94)</f>
        <v/>
      </c>
      <c r="M102" s="164">
        <f>SUBTOTAL(9,M58:M94)</f>
        <v/>
      </c>
      <c r="N102" s="311" t="n"/>
      <c r="O102" s="311" t="n"/>
      <c r="P102" s="311" t="n"/>
      <c r="Q102" s="164" t="n"/>
      <c r="R102" s="163" t="n"/>
      <c r="S102" s="164">
        <f>SUBTOTAL(9,S58:S94)</f>
        <v/>
      </c>
      <c r="T102" s="164">
        <f>SUBTOTAL(9,T58:T94)</f>
        <v/>
      </c>
      <c r="U102" s="149" t="n"/>
      <c r="V102" s="311" t="n"/>
      <c r="W102" s="164">
        <f>SUBTOTAL(9,W58:W94)</f>
        <v/>
      </c>
      <c r="X102" s="149" t="n"/>
      <c r="Y102" s="164">
        <f>SUBTOTAL(9,Y58:Y94)</f>
        <v/>
      </c>
      <c r="Z102" s="164">
        <f>SUBTOTAL(9,Z58:Z94)</f>
        <v/>
      </c>
      <c r="AA102" s="164">
        <f>SUBTOTAL(9,AA58:AA94)</f>
        <v/>
      </c>
      <c r="AB102" s="149" t="n"/>
      <c r="AC102" s="311" t="n"/>
      <c r="AD102" s="311" t="n"/>
      <c r="AE102" s="311" t="n"/>
      <c r="AF102" s="311" t="n"/>
    </row>
    <row r="103">
      <c r="A103" s="149" t="inlineStr">
        <is>
          <t>기타 합계</t>
        </is>
      </c>
      <c r="B103" s="219" t="n"/>
      <c r="C103" s="219" t="n"/>
      <c r="D103" s="219" t="n"/>
      <c r="E103" s="219" t="n"/>
      <c r="F103" s="219" t="n"/>
      <c r="G103" s="220" t="n"/>
      <c r="H103" s="164">
        <f>SUBTOTAL(9,H95:H100)</f>
        <v/>
      </c>
      <c r="I103" s="311" t="n"/>
      <c r="J103" s="164">
        <f>SUBTOTAL(9,J86:J91)</f>
        <v/>
      </c>
      <c r="K103" s="164">
        <f>SUBTOTAL(9,K95:K100)</f>
        <v/>
      </c>
      <c r="L103" s="164">
        <f>SUBTOTAL(9,L95:L100)</f>
        <v/>
      </c>
      <c r="M103" s="164">
        <f>SUBTOTAL(9,M95:M100)</f>
        <v/>
      </c>
      <c r="N103" s="311" t="n"/>
      <c r="O103" s="311" t="n"/>
      <c r="P103" s="311" t="n"/>
      <c r="Q103" s="164" t="n"/>
      <c r="R103" s="163" t="n"/>
      <c r="S103" s="164">
        <f>SUBTOTAL(9,S95:S100)</f>
        <v/>
      </c>
      <c r="T103" s="164">
        <f>SUBTOTAL(9,T95:T100)</f>
        <v/>
      </c>
      <c r="U103" s="149" t="n"/>
      <c r="V103" s="311" t="n"/>
      <c r="W103" s="164">
        <f>SUBTOTAL(9,W95:W100)</f>
        <v/>
      </c>
      <c r="X103" s="149" t="n"/>
      <c r="Y103" s="164">
        <f>SUBTOTAL(9,Y95:Y100)</f>
        <v/>
      </c>
      <c r="Z103" s="164">
        <f>SUBTOTAL(9,Z95:Z100)</f>
        <v/>
      </c>
      <c r="AA103" s="164">
        <f>SUBTOTAL(9,AA95:AA100)</f>
        <v/>
      </c>
      <c r="AB103" s="149" t="n"/>
      <c r="AC103" s="311" t="n"/>
      <c r="AD103" s="311" t="n"/>
      <c r="AE103" s="311" t="n"/>
      <c r="AF103" s="311" t="n"/>
    </row>
    <row r="104">
      <c r="A104" s="312" t="inlineStr">
        <is>
          <t>총 합계</t>
        </is>
      </c>
      <c r="B104" s="219" t="n"/>
      <c r="C104" s="219" t="n"/>
      <c r="D104" s="219" t="n"/>
      <c r="E104" s="219" t="n"/>
      <c r="F104" s="219" t="n"/>
      <c r="G104" s="220" t="n"/>
      <c r="H104" s="313">
        <f>SUBTOTAL(9,H5:H100)</f>
        <v/>
      </c>
      <c r="I104" s="314" t="n"/>
      <c r="J104" s="313">
        <f>SUBTOTAL(9,J5:J91)</f>
        <v/>
      </c>
      <c r="K104" s="313">
        <f>SUBTOTAL(9,K5:K100)</f>
        <v/>
      </c>
      <c r="L104" s="313">
        <f>SUBTOTAL(9,L5:L100)</f>
        <v/>
      </c>
      <c r="M104" s="313">
        <f>SUBTOTAL(9,M5:M100)</f>
        <v/>
      </c>
      <c r="N104" s="314" t="n"/>
      <c r="O104" s="314" t="n"/>
      <c r="P104" s="314" t="n"/>
      <c r="Q104" s="313" t="n"/>
      <c r="R104" s="315" t="n"/>
      <c r="S104" s="313">
        <f>SUBTOTAL(9,S5:S100)</f>
        <v/>
      </c>
      <c r="T104" s="313">
        <f>SUBTOTAL(9,T5:T100)</f>
        <v/>
      </c>
      <c r="U104" s="312" t="n"/>
      <c r="V104" s="314" t="n"/>
      <c r="W104" s="313">
        <f>SUBTOTAL(9,W5:W100)</f>
        <v/>
      </c>
      <c r="X104" s="312" t="n"/>
      <c r="Y104" s="313">
        <f>SUBTOTAL(9,Y5:Y100)</f>
        <v/>
      </c>
      <c r="Z104" s="313">
        <f>SUBTOTAL(9,Z5:Z100)</f>
        <v/>
      </c>
      <c r="AA104" s="313">
        <f>SUBTOTAL(9,AA5:AA100)</f>
        <v/>
      </c>
      <c r="AB104" s="312" t="n"/>
      <c r="AC104" s="314" t="n"/>
      <c r="AD104" s="314" t="n"/>
      <c r="AE104" s="314" t="n"/>
      <c r="AF104" s="314" t="n"/>
    </row>
    <row r="105"/>
    <row r="106"/>
    <row r="107"/>
    <row r="108"/>
    <row r="109"/>
    <row r="110"/>
    <row r="111"/>
    <row r="112"/>
    <row r="113"/>
    <row r="114"/>
  </sheetData>
  <mergeCells count="12">
    <mergeCell ref="A103:G103"/>
    <mergeCell ref="G3:N3"/>
    <mergeCell ref="A102:G102"/>
    <mergeCell ref="A1:AF1"/>
    <mergeCell ref="A101:G101"/>
    <mergeCell ref="AD3:AF3"/>
    <mergeCell ref="X3:Z3"/>
    <mergeCell ref="A104:G104"/>
    <mergeCell ref="A3:F3"/>
    <mergeCell ref="AA3:AC3"/>
    <mergeCell ref="O3:W3"/>
    <mergeCell ref="A2:AF2"/>
  </mergeCells>
  <hyperlinks>
    <hyperlink xmlns:r="http://schemas.openxmlformats.org/officeDocument/2006/relationships" ref="A1" r:id="rId1"/>
  </hyperlink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0"/>
  <sheetViews>
    <sheetView showGridLines="0" zoomScaleNormal="100" workbookViewId="0">
      <selection activeCell="F44" sqref="F44"/>
    </sheetView>
  </sheetViews>
  <sheetFormatPr baseColWidth="10" defaultColWidth="8.6640625" defaultRowHeight="17"/>
  <cols>
    <col width="5" customWidth="1" style="234" min="1" max="1"/>
    <col width="12" customWidth="1" style="234" min="2" max="2"/>
    <col width="9" customWidth="1" style="51" min="3" max="3"/>
    <col width="12" customWidth="1" style="51" min="4" max="4"/>
    <col width="14" customWidth="1" style="234" min="5" max="5"/>
    <col width="28" customWidth="1" style="51" min="6" max="6"/>
    <col width="12.5" customWidth="1" style="51" min="7" max="10"/>
    <col width="10.6640625" customWidth="1" style="51" min="11" max="11"/>
    <col width="8.6640625" customWidth="1" style="234" min="12" max="17"/>
    <col width="8.6640625" customWidth="1" style="234" min="18" max="16384"/>
  </cols>
  <sheetData>
    <row r="1" ht="24" customHeight="1">
      <c r="A1" s="238" t="inlineStr">
        <is>
          <t>라이센스 / 워런티 계약 현황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40" t="n"/>
      <c r="L1" s="316" t="n"/>
      <c r="M1" s="316" t="n"/>
    </row>
    <row r="2" ht="28" customHeight="1">
      <c r="A2" s="1" t="inlineStr">
        <is>
          <t>No.</t>
        </is>
      </c>
      <c r="B2" s="1" t="inlineStr">
        <is>
          <t>PO No.</t>
        </is>
      </c>
      <c r="C2" s="1" t="inlineStr">
        <is>
          <t>업체</t>
        </is>
      </c>
      <c r="D2" s="1" t="inlineStr">
        <is>
          <t>구분</t>
        </is>
      </c>
      <c r="E2" s="1" t="inlineStr">
        <is>
          <t>Invoice(USD)</t>
        </is>
      </c>
      <c r="F2" s="1" t="inlineStr">
        <is>
          <t>품명</t>
        </is>
      </c>
      <c r="G2" s="1" t="inlineStr">
        <is>
          <t>PO일자</t>
        </is>
      </c>
      <c r="H2" s="1" t="inlineStr">
        <is>
          <t>송금일</t>
        </is>
      </c>
      <c r="I2" s="1" t="inlineStr">
        <is>
          <t>계약시작</t>
        </is>
      </c>
      <c r="J2" s="1" t="inlineStr">
        <is>
          <t>계약종료</t>
        </is>
      </c>
      <c r="K2" s="1" t="inlineStr">
        <is>
          <t>상태</t>
        </is>
      </c>
      <c r="L2" s="73" t="n"/>
      <c r="M2" s="73" t="n"/>
    </row>
    <row r="3" ht="15.75" customHeight="1">
      <c r="A3" s="9" t="n">
        <v>1</v>
      </c>
      <c r="B3" s="9" t="inlineStr">
        <is>
          <t>CPO667</t>
        </is>
      </c>
      <c r="C3" s="10" t="inlineStr">
        <is>
          <t>Christie</t>
        </is>
      </c>
      <c r="D3" s="10" t="inlineStr">
        <is>
          <t>워런티(EW)</t>
        </is>
      </c>
      <c r="E3" s="53" t="n">
        <v>5673</v>
      </c>
      <c r="F3" s="9" t="inlineStr">
        <is>
          <t>EW CP2220</t>
        </is>
      </c>
      <c r="G3" s="317" t="n">
        <v>45925</v>
      </c>
      <c r="H3" s="317" t="n">
        <v>46080</v>
      </c>
      <c r="I3" s="317" t="n">
        <v>45913</v>
      </c>
      <c r="J3" s="317" t="n">
        <v>46262</v>
      </c>
      <c r="K3" s="9" t="inlineStr">
        <is>
          <t>라이센스</t>
        </is>
      </c>
      <c r="L3" s="74" t="n"/>
      <c r="M3" s="74" t="n"/>
    </row>
    <row r="4" ht="15.75" customHeight="1">
      <c r="A4" s="9" t="n">
        <v>2</v>
      </c>
      <c r="B4" s="9" t="inlineStr">
        <is>
          <t>GPO458</t>
        </is>
      </c>
      <c r="C4" s="10" t="inlineStr">
        <is>
          <t>GDC</t>
        </is>
      </c>
      <c r="D4" s="10" t="inlineStr">
        <is>
          <t>라이센스</t>
        </is>
      </c>
      <c r="E4" s="53" t="n">
        <v>350</v>
      </c>
      <c r="F4" s="9" t="inlineStr">
        <is>
          <t>HFR License</t>
        </is>
      </c>
      <c r="G4" s="317" t="n">
        <v>45982</v>
      </c>
      <c r="H4" s="317" t="n">
        <v>46020</v>
      </c>
      <c r="I4" s="317" t="n">
        <v>45992</v>
      </c>
      <c r="J4" s="317" t="n">
        <v>46356</v>
      </c>
      <c r="K4" s="9" t="inlineStr">
        <is>
          <t>라이센스</t>
        </is>
      </c>
      <c r="L4" s="74" t="n"/>
      <c r="M4" s="74" t="n"/>
    </row>
    <row r="5" ht="15.75" customHeight="1">
      <c r="A5" s="9" t="n">
        <v>3</v>
      </c>
      <c r="B5" s="9" t="inlineStr">
        <is>
          <t>CPO681</t>
        </is>
      </c>
      <c r="C5" s="10" t="inlineStr">
        <is>
          <t>Christie</t>
        </is>
      </c>
      <c r="D5" s="10" t="inlineStr">
        <is>
          <t>워런티(EW)</t>
        </is>
      </c>
      <c r="E5" s="53" t="n">
        <v>26358</v>
      </c>
      <c r="F5" s="9" t="inlineStr">
        <is>
          <t>EW CP2309/2315/2320-RGB</t>
        </is>
      </c>
      <c r="G5" s="317" t="n">
        <v>45993</v>
      </c>
      <c r="H5" s="317" t="n">
        <v>46064</v>
      </c>
      <c r="I5" s="317" t="n">
        <v>46013</v>
      </c>
      <c r="J5" s="317" t="n">
        <v>46377</v>
      </c>
      <c r="K5" s="9" t="inlineStr">
        <is>
          <t>라이센스</t>
        </is>
      </c>
      <c r="L5" s="74" t="n"/>
      <c r="M5" s="74" t="n"/>
    </row>
    <row r="6" ht="15.75" customHeight="1">
      <c r="A6" s="9" t="n">
        <v>4</v>
      </c>
      <c r="B6" s="9" t="inlineStr">
        <is>
          <t>GPO459</t>
        </is>
      </c>
      <c r="C6" s="10" t="inlineStr">
        <is>
          <t>GDC</t>
        </is>
      </c>
      <c r="D6" s="10" t="inlineStr">
        <is>
          <t>워런티(EW)</t>
        </is>
      </c>
      <c r="E6" s="53" t="n">
        <v>450</v>
      </c>
      <c r="F6" s="9" t="inlineStr">
        <is>
          <t>TMS-2000 EW</t>
        </is>
      </c>
      <c r="G6" s="317" t="n">
        <v>46007</v>
      </c>
      <c r="H6" s="317" t="n">
        <v>46043</v>
      </c>
      <c r="I6" s="317" t="n">
        <v>46023</v>
      </c>
      <c r="J6" s="317" t="n">
        <v>46387</v>
      </c>
      <c r="K6" s="9" t="inlineStr">
        <is>
          <t>라이센스</t>
        </is>
      </c>
      <c r="L6" s="74" t="n"/>
      <c r="M6" s="74" t="n"/>
    </row>
    <row r="7" ht="15.75" customHeight="1">
      <c r="A7" s="9" t="n">
        <v>5</v>
      </c>
      <c r="B7" s="9" t="inlineStr">
        <is>
          <t>GPO461</t>
        </is>
      </c>
      <c r="C7" s="10" t="inlineStr">
        <is>
          <t>GDC</t>
        </is>
      </c>
      <c r="D7" s="10" t="inlineStr">
        <is>
          <t>워런티(EW)</t>
        </is>
      </c>
      <c r="E7" s="53" t="n">
        <v>540</v>
      </c>
      <c r="F7" s="9" t="inlineStr">
        <is>
          <t>TMS-1000 EW</t>
        </is>
      </c>
      <c r="G7" s="317" t="n">
        <v>46007</v>
      </c>
      <c r="H7" s="317" t="n">
        <v>46043</v>
      </c>
      <c r="I7" s="317" t="n">
        <v>45962</v>
      </c>
      <c r="J7" s="317" t="n">
        <v>46325</v>
      </c>
      <c r="K7" s="9" t="inlineStr">
        <is>
          <t>라이센스</t>
        </is>
      </c>
      <c r="L7" s="74" t="n"/>
      <c r="M7" s="74" t="n"/>
    </row>
    <row r="8" ht="15.75" customHeight="1">
      <c r="A8" s="9" t="n">
        <v>6</v>
      </c>
      <c r="B8" s="9" t="inlineStr">
        <is>
          <t>CPO685</t>
        </is>
      </c>
      <c r="C8" s="10" t="inlineStr">
        <is>
          <t>Christie</t>
        </is>
      </c>
      <c r="D8" s="10" t="inlineStr">
        <is>
          <t>워런티(EW)</t>
        </is>
      </c>
      <c r="E8" s="53" t="n">
        <v>136516</v>
      </c>
      <c r="F8" s="9" t="inlineStr">
        <is>
          <t>EW 대량 (CP2208~CP4450)</t>
        </is>
      </c>
      <c r="G8" s="317" t="n">
        <v>46010</v>
      </c>
      <c r="H8" s="317" t="n">
        <v>46080</v>
      </c>
      <c r="I8" s="317" t="n">
        <v>46023</v>
      </c>
      <c r="J8" s="317" t="n">
        <v>46387</v>
      </c>
      <c r="K8" s="9" t="inlineStr">
        <is>
          <t>라이센스</t>
        </is>
      </c>
      <c r="L8" s="74" t="n"/>
      <c r="M8" s="74" t="n"/>
    </row>
    <row r="9" ht="15.75" customHeight="1">
      <c r="A9" s="9" t="n">
        <v>7</v>
      </c>
      <c r="B9" s="9" t="inlineStr">
        <is>
          <t>GPO465</t>
        </is>
      </c>
      <c r="C9" s="10" t="inlineStr">
        <is>
          <t>GDC</t>
        </is>
      </c>
      <c r="D9" s="10" t="inlineStr">
        <is>
          <t>워런티(EW)</t>
        </is>
      </c>
      <c r="E9" s="53" t="n">
        <v>76054</v>
      </c>
      <c r="F9" s="9" t="inlineStr">
        <is>
          <t>EW 대량 (SR/SX/TMS)</t>
        </is>
      </c>
      <c r="G9" s="317" t="n">
        <v>46015</v>
      </c>
      <c r="H9" s="9" t="inlineStr">
        <is>
          <t>-</t>
        </is>
      </c>
      <c r="I9" s="317" t="n">
        <v>46023</v>
      </c>
      <c r="J9" s="317" t="n">
        <v>46387</v>
      </c>
      <c r="K9" s="9" t="inlineStr">
        <is>
          <t>라이센스</t>
        </is>
      </c>
      <c r="L9" s="74" t="n"/>
      <c r="M9" s="74" t="n"/>
    </row>
    <row r="10" ht="15.75" customHeight="1">
      <c r="A10" s="9" t="n">
        <v>8</v>
      </c>
      <c r="B10" s="9" t="inlineStr">
        <is>
          <t>CPO686</t>
        </is>
      </c>
      <c r="C10" s="10" t="inlineStr">
        <is>
          <t>Christie</t>
        </is>
      </c>
      <c r="D10" s="10" t="inlineStr">
        <is>
          <t>워런티(EW)</t>
        </is>
      </c>
      <c r="E10" s="53" t="n">
        <v>14793</v>
      </c>
      <c r="F10" s="9" t="inlineStr">
        <is>
          <t>EW CP2315/CP4440-RGB</t>
        </is>
      </c>
      <c r="G10" s="317" t="n">
        <v>46029</v>
      </c>
      <c r="H10" s="317" t="n">
        <v>46072</v>
      </c>
      <c r="I10" s="317" t="n">
        <v>46052</v>
      </c>
      <c r="J10" s="317" t="n">
        <v>46416</v>
      </c>
      <c r="K10" s="9" t="inlineStr">
        <is>
          <t>라이센스</t>
        </is>
      </c>
      <c r="L10" s="74" t="n"/>
      <c r="M10" s="74" t="n"/>
    </row>
    <row r="11" ht="15.75" customHeight="1">
      <c r="A11" s="9" t="n">
        <v>9</v>
      </c>
      <c r="B11" s="9" t="inlineStr">
        <is>
          <t>CPO687</t>
        </is>
      </c>
      <c r="C11" s="10" t="inlineStr">
        <is>
          <t>Christie</t>
        </is>
      </c>
      <c r="D11" s="10" t="inlineStr">
        <is>
          <t>워런티(EW)</t>
        </is>
      </c>
      <c r="E11" s="53" t="n">
        <v>26656</v>
      </c>
      <c r="F11" s="9" t="inlineStr">
        <is>
          <t>EW (홀딩)</t>
        </is>
      </c>
      <c r="G11" s="317" t="n">
        <v>46029</v>
      </c>
      <c r="H11" s="9" t="inlineStr">
        <is>
          <t>-</t>
        </is>
      </c>
      <c r="I11" s="9" t="inlineStr">
        <is>
          <t>미확인</t>
        </is>
      </c>
      <c r="J11" s="9" t="inlineStr">
        <is>
          <t>미확인</t>
        </is>
      </c>
      <c r="K11" s="9" t="inlineStr">
        <is>
          <t>홀딩</t>
        </is>
      </c>
      <c r="L11" s="74" t="n"/>
      <c r="M11" s="74" t="n"/>
    </row>
    <row r="12" ht="15.75" customHeight="1">
      <c r="A12" s="9" t="n">
        <v>10</v>
      </c>
      <c r="B12" s="9" t="inlineStr">
        <is>
          <t>GPO462</t>
        </is>
      </c>
      <c r="C12" s="10" t="inlineStr">
        <is>
          <t>GDC</t>
        </is>
      </c>
      <c r="D12" s="10" t="inlineStr">
        <is>
          <t>라이센스</t>
        </is>
      </c>
      <c r="E12" s="53" t="n">
        <v>1440</v>
      </c>
      <c r="F12" s="9" t="inlineStr">
        <is>
          <t>TMS-2000 License</t>
        </is>
      </c>
      <c r="G12" s="317" t="n">
        <v>46042</v>
      </c>
      <c r="H12" s="317" t="n">
        <v>46057</v>
      </c>
      <c r="I12" s="317" t="n">
        <v>46023</v>
      </c>
      <c r="J12" s="317" t="n">
        <v>46387</v>
      </c>
      <c r="K12" s="9" t="inlineStr">
        <is>
          <t>라이센스</t>
        </is>
      </c>
      <c r="L12" s="74" t="n"/>
      <c r="M12" s="74" t="n"/>
    </row>
    <row r="13" ht="15.75" customHeight="1">
      <c r="A13" s="9" t="n">
        <v>11</v>
      </c>
      <c r="B13" s="9" t="inlineStr">
        <is>
          <t>GPO463</t>
        </is>
      </c>
      <c r="C13" s="10" t="inlineStr">
        <is>
          <t>GDC</t>
        </is>
      </c>
      <c r="D13" s="10" t="inlineStr">
        <is>
          <t>워런티(EW)</t>
        </is>
      </c>
      <c r="E13" s="53" t="n">
        <v>4489</v>
      </c>
      <c r="F13" s="9" t="inlineStr">
        <is>
          <t>SX/SR EW (CGV/Lotte)</t>
        </is>
      </c>
      <c r="G13" s="317" t="n">
        <v>46042</v>
      </c>
      <c r="H13" s="317" t="n">
        <v>46057</v>
      </c>
      <c r="I13" s="317" t="n">
        <v>46023</v>
      </c>
      <c r="J13" s="317" t="n">
        <v>46387</v>
      </c>
      <c r="K13" s="9" t="inlineStr">
        <is>
          <t>라이센스</t>
        </is>
      </c>
      <c r="L13" s="74" t="n"/>
      <c r="M13" s="74" t="n"/>
    </row>
    <row r="14" ht="15.75" customHeight="1">
      <c r="A14" s="9" t="n">
        <v>12</v>
      </c>
      <c r="B14" s="9" t="inlineStr">
        <is>
          <t>GPO464</t>
        </is>
      </c>
      <c r="C14" s="10" t="inlineStr">
        <is>
          <t>GDC</t>
        </is>
      </c>
      <c r="D14" s="10" t="inlineStr">
        <is>
          <t>워런티(EW)</t>
        </is>
      </c>
      <c r="E14" s="53" t="n">
        <v>5670.57</v>
      </c>
      <c r="F14" s="9" t="inlineStr">
        <is>
          <t>SR-1000/SX-3000 EW</t>
        </is>
      </c>
      <c r="G14" s="317" t="n">
        <v>46042</v>
      </c>
      <c r="H14" s="317" t="n">
        <v>46057</v>
      </c>
      <c r="I14" s="317" t="n">
        <v>46023</v>
      </c>
      <c r="J14" s="317" t="n">
        <v>46387</v>
      </c>
      <c r="K14" s="9" t="inlineStr">
        <is>
          <t>라이센스</t>
        </is>
      </c>
      <c r="L14" s="74" t="n"/>
      <c r="M14" s="74" t="n"/>
    </row>
    <row r="15" ht="15.75" customHeight="1">
      <c r="A15" s="9" t="n">
        <v>13</v>
      </c>
      <c r="B15" s="9" t="inlineStr">
        <is>
          <t>CPO691</t>
        </is>
      </c>
      <c r="C15" s="10" t="inlineStr">
        <is>
          <t>Christie</t>
        </is>
      </c>
      <c r="D15" s="10" t="inlineStr">
        <is>
          <t>워런티(EW)</t>
        </is>
      </c>
      <c r="E15" s="53" t="n">
        <v>24614</v>
      </c>
      <c r="F15" s="9" t="inlineStr">
        <is>
          <t>EW (메가박스 외)</t>
        </is>
      </c>
      <c r="G15" s="317" t="n">
        <v>46057</v>
      </c>
      <c r="H15" s="317" t="n">
        <v>46113</v>
      </c>
      <c r="I15" s="317" t="n">
        <v>46082</v>
      </c>
      <c r="J15" s="318" t="n">
        <v>46446</v>
      </c>
      <c r="K15" s="9" t="inlineStr">
        <is>
          <t>라이센스</t>
        </is>
      </c>
      <c r="L15" s="74" t="n"/>
      <c r="M15" s="74" t="n"/>
    </row>
    <row r="16" ht="15.75" customHeight="1">
      <c r="A16" s="9" t="n">
        <v>14</v>
      </c>
      <c r="B16" s="9" t="inlineStr">
        <is>
          <t>GPO469</t>
        </is>
      </c>
      <c r="C16" s="10" t="inlineStr">
        <is>
          <t>GDC</t>
        </is>
      </c>
      <c r="D16" s="10" t="inlineStr">
        <is>
          <t>워런티(EW)</t>
        </is>
      </c>
      <c r="E16" s="53" t="n">
        <v>3993.05</v>
      </c>
      <c r="F16" s="9" t="inlineStr">
        <is>
          <t>SR/SX EW (하남미사 외)</t>
        </is>
      </c>
      <c r="G16" s="317" t="n">
        <v>46060</v>
      </c>
      <c r="H16" s="317" t="n">
        <v>46113</v>
      </c>
      <c r="I16" s="317" t="n">
        <v>46023</v>
      </c>
      <c r="J16" s="318" t="n">
        <v>46440</v>
      </c>
      <c r="K16" s="9" t="inlineStr">
        <is>
          <t>라이센스</t>
        </is>
      </c>
      <c r="L16" s="74" t="n"/>
      <c r="M16" s="74" t="n"/>
    </row>
    <row r="17" ht="15.75" customHeight="1">
      <c r="A17" s="9" t="n">
        <v>15</v>
      </c>
      <c r="B17" s="9" t="inlineStr">
        <is>
          <t>GPO470</t>
        </is>
      </c>
      <c r="C17" s="10" t="inlineStr">
        <is>
          <t>GDC</t>
        </is>
      </c>
      <c r="D17" s="10" t="inlineStr">
        <is>
          <t>라이센스</t>
        </is>
      </c>
      <c r="E17" s="53" t="n">
        <v>360</v>
      </c>
      <c r="F17" s="9" t="inlineStr">
        <is>
          <t>TMS-1000 License</t>
        </is>
      </c>
      <c r="G17" s="317" t="n">
        <v>46080</v>
      </c>
      <c r="H17" s="317" t="n">
        <v>46113</v>
      </c>
      <c r="I17" s="317" t="n">
        <v>46082</v>
      </c>
      <c r="J17" s="318" t="n">
        <v>46446</v>
      </c>
      <c r="K17" s="9" t="inlineStr">
        <is>
          <t>라이센스</t>
        </is>
      </c>
      <c r="L17" s="74" t="n"/>
      <c r="M17" s="74" t="n"/>
    </row>
    <row r="18" ht="15.75" customHeight="1">
      <c r="A18" s="54" t="n">
        <v>16</v>
      </c>
      <c r="B18" s="54" t="inlineStr">
        <is>
          <t>GPO471</t>
        </is>
      </c>
      <c r="C18" s="65" t="inlineStr">
        <is>
          <t>GDC</t>
        </is>
      </c>
      <c r="D18" s="65" t="inlineStr">
        <is>
          <t>라이센스</t>
        </is>
      </c>
      <c r="E18" s="66" t="n">
        <v>500</v>
      </c>
      <c r="F18" s="54" t="inlineStr">
        <is>
          <t>Dolby Atmos License</t>
        </is>
      </c>
      <c r="G18" s="318" t="n">
        <v>46088</v>
      </c>
      <c r="H18" s="318" t="n">
        <v>46113</v>
      </c>
      <c r="I18" s="54" t="inlineStr">
        <is>
          <t>미확인</t>
        </is>
      </c>
      <c r="J18" s="54" t="inlineStr">
        <is>
          <t>미확인</t>
        </is>
      </c>
      <c r="K18" s="54" t="inlineStr">
        <is>
          <t>라이센스</t>
        </is>
      </c>
      <c r="L18" s="74" t="n"/>
      <c r="M18" s="74" t="n"/>
    </row>
    <row r="19" ht="15.75" customHeight="1">
      <c r="A19" s="9" t="n">
        <v>17</v>
      </c>
      <c r="B19" s="9" t="inlineStr">
        <is>
          <t>CPO694</t>
        </is>
      </c>
      <c r="C19" s="10" t="inlineStr">
        <is>
          <t>Christie</t>
        </is>
      </c>
      <c r="D19" s="10" t="inlineStr">
        <is>
          <t>워런티(EW)</t>
        </is>
      </c>
      <c r="E19" s="53" t="n">
        <v>17404</v>
      </c>
      <c r="F19" s="9" t="inlineStr">
        <is>
          <t>EW (CGV 동백 외 Warranty Extension)</t>
        </is>
      </c>
      <c r="G19" s="317" t="n">
        <v>46109</v>
      </c>
      <c r="H19" s="317" t="n">
        <v>46146</v>
      </c>
      <c r="I19" s="317" t="n">
        <v>46113</v>
      </c>
      <c r="J19" s="318" t="n">
        <v>46477</v>
      </c>
      <c r="K19" s="9" t="inlineStr">
        <is>
          <t>라이센스</t>
        </is>
      </c>
      <c r="L19" s="74" t="n"/>
      <c r="M19" s="74" t="n"/>
    </row>
    <row r="20" ht="15.75" customHeight="1">
      <c r="A20" s="67" t="n">
        <v>18</v>
      </c>
      <c r="B20" s="67" t="inlineStr">
        <is>
          <t>CPO697</t>
        </is>
      </c>
      <c r="C20" s="68" t="inlineStr">
        <is>
          <t>Christie</t>
        </is>
      </c>
      <c r="D20" s="68" t="inlineStr">
        <is>
          <t>워런티(EW)</t>
        </is>
      </c>
      <c r="E20" s="69" t="n">
        <v>15289</v>
      </c>
      <c r="F20" s="67" t="inlineStr">
        <is>
          <t>EW CP4425/CP2308/CP2315/CP2309/CP2320 13대</t>
        </is>
      </c>
      <c r="G20" s="319" t="n">
        <v>46136</v>
      </c>
      <c r="H20" s="319" t="n">
        <v>46171</v>
      </c>
      <c r="I20" s="319" t="n">
        <v>46168</v>
      </c>
      <c r="J20" s="319" t="n">
        <v>46532</v>
      </c>
      <c r="K20" s="67" t="inlineStr">
        <is>
          <t>라이센스</t>
        </is>
      </c>
      <c r="L20" s="74" t="n"/>
      <c r="M20" s="74" t="n"/>
    </row>
    <row r="21" ht="15.75" customHeight="1">
      <c r="A21" s="67" t="n">
        <v>19</v>
      </c>
      <c r="B21" s="67" t="inlineStr">
        <is>
          <t>CPO693-2</t>
        </is>
      </c>
      <c r="C21" s="68" t="inlineStr">
        <is>
          <t>Christie</t>
        </is>
      </c>
      <c r="D21" s="68" t="inlineStr">
        <is>
          <t>워런티(EW)</t>
        </is>
      </c>
      <c r="E21" s="69" t="n">
        <v>2550</v>
      </c>
      <c r="F21" s="67" t="inlineStr">
        <is>
          <t>CP4420-RGB 2년 워런티 (CGV 구미)</t>
        </is>
      </c>
      <c r="G21" s="319" t="n">
        <v>46133</v>
      </c>
      <c r="H21" s="319" t="inlineStr">
        <is>
          <t>-</t>
        </is>
      </c>
      <c r="I21" s="319" t="n">
        <v>46142</v>
      </c>
      <c r="J21" s="319" t="n">
        <v>46872</v>
      </c>
      <c r="K21" s="67" t="inlineStr">
        <is>
          <t>라이센스</t>
        </is>
      </c>
      <c r="L21" s="74" t="n"/>
      <c r="M21" s="74" t="n"/>
    </row>
    <row r="22" ht="15.75" customHeight="1">
      <c r="A22" s="123" t="n">
        <v>20</v>
      </c>
      <c r="B22" s="123" t="inlineStr">
        <is>
          <t>GPO478</t>
        </is>
      </c>
      <c r="C22" s="124" t="inlineStr">
        <is>
          <t>GDC</t>
        </is>
      </c>
      <c r="D22" s="124" t="inlineStr">
        <is>
          <t>라이센스</t>
        </is>
      </c>
      <c r="E22" s="125" t="n">
        <v>180</v>
      </c>
      <c r="F22" s="123" t="inlineStr">
        <is>
          <t>TMS-1000 License (NOWON THE FOREST 2 screens)</t>
        </is>
      </c>
      <c r="G22" s="320" t="n">
        <v>46127</v>
      </c>
      <c r="H22" s="320" t="n">
        <v>46161</v>
      </c>
      <c r="I22" s="320" t="n">
        <v>46143</v>
      </c>
      <c r="J22" s="320" t="n">
        <v>46507</v>
      </c>
      <c r="K22" s="123" t="inlineStr">
        <is>
          <t>라이센스</t>
        </is>
      </c>
      <c r="L22" s="127" t="n"/>
      <c r="M22" s="127" t="n"/>
    </row>
    <row r="23" ht="15.75" customHeight="1">
      <c r="A23" s="123" t="n">
        <v>21</v>
      </c>
      <c r="B23" s="123" t="inlineStr">
        <is>
          <t>GPO480</t>
        </is>
      </c>
      <c r="C23" s="124" t="inlineStr">
        <is>
          <t>GDC</t>
        </is>
      </c>
      <c r="D23" s="124" t="inlineStr">
        <is>
          <t>라이센스</t>
        </is>
      </c>
      <c r="E23" s="125" t="n">
        <v>250</v>
      </c>
      <c r="F23" s="123" t="inlineStr">
        <is>
          <t>GDC SX-3000 PEM Cert Extension (Megabox Hwamyeong, 10y)</t>
        </is>
      </c>
      <c r="G23" s="320" t="n">
        <v>46137</v>
      </c>
      <c r="H23" s="320" t="n">
        <v>46171</v>
      </c>
      <c r="I23" s="320" t="n">
        <v>46143</v>
      </c>
      <c r="J23" s="320" t="n">
        <v>49795</v>
      </c>
      <c r="K23" s="123" t="inlineStr">
        <is>
          <t>라이센스</t>
        </is>
      </c>
      <c r="L23" s="127" t="n"/>
      <c r="M23" s="127" t="n"/>
    </row>
    <row r="24" ht="15.75" customHeight="1">
      <c r="A24" s="123" t="n">
        <v>22</v>
      </c>
      <c r="B24" s="123" t="inlineStr">
        <is>
          <t>GPO481</t>
        </is>
      </c>
      <c r="C24" s="124" t="inlineStr">
        <is>
          <t>GDC</t>
        </is>
      </c>
      <c r="D24" s="124" t="inlineStr">
        <is>
          <t>라이센스</t>
        </is>
      </c>
      <c r="E24" s="125" t="n">
        <v>500</v>
      </c>
      <c r="F24" s="123" t="inlineStr">
        <is>
          <t>Dolby Atmos Playback License (Megabox Mangyeong)</t>
        </is>
      </c>
      <c r="G24" s="320" t="n">
        <v>46152</v>
      </c>
      <c r="H24" s="320" t="n">
        <v>46183</v>
      </c>
      <c r="I24" s="320" t="inlineStr">
        <is>
          <t>미확인</t>
        </is>
      </c>
      <c r="J24" s="320" t="inlineStr">
        <is>
          <t>미확인</t>
        </is>
      </c>
      <c r="K24" s="123" t="inlineStr">
        <is>
          <t>라이센스</t>
        </is>
      </c>
      <c r="L24" s="127" t="n"/>
      <c r="M24" s="127" t="n"/>
    </row>
    <row r="25" ht="15.75" customHeight="1">
      <c r="A25" s="123" t="n">
        <v>23</v>
      </c>
      <c r="B25" s="123" t="inlineStr">
        <is>
          <t>GPO475</t>
        </is>
      </c>
      <c r="C25" s="124" t="inlineStr">
        <is>
          <t>GDC</t>
        </is>
      </c>
      <c r="D25" s="124" t="inlineStr">
        <is>
          <t>라이센스</t>
        </is>
      </c>
      <c r="E25" s="125" t="n">
        <v>540</v>
      </c>
      <c r="F25" s="123" t="inlineStr">
        <is>
          <t>TMS-1000 License 6 screens (CGV 안동)</t>
        </is>
      </c>
      <c r="G25" s="320" t="n">
        <v>46127</v>
      </c>
      <c r="H25" s="320" t="n">
        <v>46190</v>
      </c>
      <c r="I25" s="320" t="n">
        <v>46143</v>
      </c>
      <c r="J25" s="320" t="n">
        <v>46507</v>
      </c>
      <c r="K25" s="123" t="inlineStr">
        <is>
          <t>라이센스</t>
        </is>
      </c>
      <c r="L25" s="127" t="n"/>
    </row>
    <row r="26" ht="15.75" customHeight="1">
      <c r="A26" s="123" t="n">
        <v>24</v>
      </c>
      <c r="B26" s="123" t="inlineStr">
        <is>
          <t>CPO702</t>
        </is>
      </c>
      <c r="C26" s="124" t="inlineStr">
        <is>
          <t>Christie</t>
        </is>
      </c>
      <c r="D26" s="124" t="inlineStr">
        <is>
          <t>워런티(EW)</t>
        </is>
      </c>
      <c r="E26" s="125" t="n">
        <v>32715</v>
      </c>
      <c r="F26" s="123" t="inlineStr">
        <is>
          <t>EW CP2215/CP2309-RGB 25대 (롯데 영천 외 8개소)</t>
        </is>
      </c>
      <c r="G26" s="320" t="n">
        <v>46181</v>
      </c>
      <c r="H26" s="320" t="n">
        <v>46241</v>
      </c>
      <c r="I26" s="320" t="n">
        <v>46192</v>
      </c>
      <c r="J26" s="320" t="n">
        <v>46752</v>
      </c>
      <c r="K26" s="123" t="inlineStr">
        <is>
          <t>라이센스</t>
        </is>
      </c>
      <c r="L26" s="127" t="n"/>
    </row>
    <row r="27" ht="15.75" customHeight="1">
      <c r="A27" s="123" t="n">
        <v>25</v>
      </c>
      <c r="B27" s="123" t="inlineStr">
        <is>
          <t>GPO486</t>
        </is>
      </c>
      <c r="C27" s="124" t="inlineStr">
        <is>
          <t>GDC</t>
        </is>
      </c>
      <c r="D27" s="124" t="inlineStr">
        <is>
          <t>라이센스</t>
        </is>
      </c>
      <c r="E27" s="125" t="n">
        <v>450</v>
      </c>
      <c r="F27" s="123" t="inlineStr">
        <is>
          <t>TMS-1000 License Ext 5screens (메가박스 경산 하양)</t>
        </is>
      </c>
      <c r="G27" s="320" t="n">
        <v>46182</v>
      </c>
      <c r="H27" s="320" t="inlineStr">
        <is>
          <t>-</t>
        </is>
      </c>
      <c r="I27" s="320" t="n">
        <v>46204</v>
      </c>
      <c r="J27" s="320" t="n">
        <v>46568</v>
      </c>
      <c r="K27" s="123" t="inlineStr">
        <is>
          <t>라이센스</t>
        </is>
      </c>
      <c r="L27" s="127" t="n"/>
    </row>
    <row r="28" ht="15.75" customHeight="1">
      <c r="A28" s="123" t="n">
        <v>26</v>
      </c>
      <c r="B28" s="123" t="inlineStr">
        <is>
          <t>GPO484</t>
        </is>
      </c>
      <c r="C28" s="124" t="inlineStr">
        <is>
          <t>GDC</t>
        </is>
      </c>
      <c r="D28" s="124" t="inlineStr">
        <is>
          <t>워런티(EW)</t>
        </is>
      </c>
      <c r="E28" s="125" t="n">
        <v>7407.81</v>
      </c>
      <c r="F28" s="123" t="inlineStr">
        <is>
          <t>SR-1000/SX-4000 Warranty Ext 11대 (CGV 진주혁신 외)</t>
        </is>
      </c>
      <c r="G28" s="320" t="n">
        <v>46183</v>
      </c>
      <c r="H28" s="320" t="inlineStr">
        <is>
          <t>-</t>
        </is>
      </c>
      <c r="I28" s="320" t="n">
        <v>46156</v>
      </c>
      <c r="J28" s="320" t="n">
        <v>46752</v>
      </c>
      <c r="K28" s="123" t="inlineStr">
        <is>
          <t>라이센스</t>
        </is>
      </c>
      <c r="L28" s="127" t="n"/>
    </row>
    <row r="29" ht="15.75" customHeight="1">
      <c r="A29" s="123" t="n">
        <v>27</v>
      </c>
      <c r="B29" s="123" t="inlineStr">
        <is>
          <t>GPO489</t>
        </is>
      </c>
      <c r="C29" s="124" t="inlineStr">
        <is>
          <t>GDC</t>
        </is>
      </c>
      <c r="D29" s="124" t="inlineStr">
        <is>
          <t>라이센스</t>
        </is>
      </c>
      <c r="E29" s="125" t="n">
        <v>3320</v>
      </c>
      <c r="F29" s="123" t="inlineStr">
        <is>
          <t>TMS License 7사이트 32screens (메가박스 삼천포 외)</t>
        </is>
      </c>
      <c r="G29" s="320" t="n">
        <v>46196</v>
      </c>
      <c r="H29" s="320" t="inlineStr">
        <is>
          <t>-</t>
        </is>
      </c>
      <c r="I29" s="320" t="n">
        <v>46204</v>
      </c>
      <c r="J29" s="320" t="n">
        <v>46568</v>
      </c>
      <c r="K29" s="123" t="inlineStr">
        <is>
          <t>라이센스</t>
        </is>
      </c>
      <c r="L29" s="127" t="n"/>
    </row>
    <row r="30" ht="15.75" customHeight="1">
      <c r="A30" s="123" t="n">
        <v>28</v>
      </c>
      <c r="B30" s="123" t="inlineStr">
        <is>
          <t>GPO487</t>
        </is>
      </c>
      <c r="C30" s="124" t="inlineStr">
        <is>
          <t>GDC</t>
        </is>
      </c>
      <c r="D30" s="124" t="inlineStr">
        <is>
          <t>워런티(EW)</t>
        </is>
      </c>
      <c r="E30" s="125" t="n">
        <v>5309</v>
      </c>
      <c r="F30" s="123" t="inlineStr">
        <is>
          <t>SX-3000 EW 133대 (롯데, gross 33,309 차감 보상판매 Credit 28,000)</t>
        </is>
      </c>
      <c r="G30" s="320" t="inlineStr">
        <is>
          <t>-</t>
        </is>
      </c>
      <c r="H30" s="320" t="inlineStr">
        <is>
          <t>-</t>
        </is>
      </c>
      <c r="I30" s="320" t="n">
        <v>46204</v>
      </c>
      <c r="J30" s="320" t="n">
        <v>46387</v>
      </c>
      <c r="K30" s="123" t="inlineStr">
        <is>
          <t>라이센스</t>
        </is>
      </c>
    </row>
    <row r="31" ht="15.75" customHeight="1">
      <c r="A31" s="123" t="n">
        <v>29</v>
      </c>
      <c r="B31" s="123" t="inlineStr">
        <is>
          <t>CPO700</t>
        </is>
      </c>
      <c r="C31" s="124" t="inlineStr">
        <is>
          <t>Christie</t>
        </is>
      </c>
      <c r="D31" s="124" t="inlineStr">
        <is>
          <t>워런티(EW)</t>
        </is>
      </c>
      <c r="E31" s="125" t="n">
        <v>1114</v>
      </c>
      <c r="F31" s="123" t="inlineStr">
        <is>
          <t>EW CP2215 1대 (CGV 대전가수원, S/N 484582013)</t>
        </is>
      </c>
      <c r="G31" s="320" t="n">
        <v>46160</v>
      </c>
      <c r="H31" s="320" t="n">
        <v>46241</v>
      </c>
      <c r="I31" s="320" t="n">
        <v>46169</v>
      </c>
      <c r="J31" s="320" t="n">
        <v>46752</v>
      </c>
      <c r="K31" s="123" t="inlineStr">
        <is>
          <t>라이센스</t>
        </is>
      </c>
    </row>
    <row r="32" ht="15.75" customHeight="1">
      <c r="A32" s="123" t="n">
        <v>30</v>
      </c>
      <c r="B32" s="123" t="inlineStr">
        <is>
          <t>CPO704</t>
        </is>
      </c>
      <c r="C32" s="124" t="inlineStr">
        <is>
          <t>Christie</t>
        </is>
      </c>
      <c r="D32" s="124" t="inlineStr">
        <is>
          <t>워런티(EW)</t>
        </is>
      </c>
      <c r="E32" s="125" t="n">
        <v>29258</v>
      </c>
      <c r="F32" s="123" t="inlineStr">
        <is>
          <t>EW 13대 (롯데 동탄 외 위탁 지점, CP4415/CP2215 등)</t>
        </is>
      </c>
      <c r="G32" s="320" t="inlineStr">
        <is>
          <t>-</t>
        </is>
      </c>
      <c r="H32" s="320" t="n">
        <v>46265</v>
      </c>
      <c r="I32" s="320" t="n">
        <v>46205</v>
      </c>
      <c r="J32" s="320" t="n">
        <v>46752</v>
      </c>
      <c r="K32" s="123" t="inlineStr">
        <is>
          <t>라이센스</t>
        </is>
      </c>
    </row>
    <row r="33" ht="15.75" customHeight="1">
      <c r="A33" s="321" t="n">
        <v>31</v>
      </c>
      <c r="B33" s="321" t="inlineStr">
        <is>
          <t>GPO490</t>
        </is>
      </c>
      <c r="C33" s="322" t="inlineStr">
        <is>
          <t>GDC</t>
        </is>
      </c>
      <c r="D33" s="322" t="inlineStr">
        <is>
          <t>라이센스</t>
        </is>
      </c>
      <c r="E33" s="323" t="n">
        <v>1800</v>
      </c>
      <c r="F33" s="321" t="inlineStr">
        <is>
          <t>TMS License 1년 연장 20screens (메가박스 제주삼화 5 / 홍성내포 5 / CGV 이천 10)</t>
        </is>
      </c>
      <c r="G33" s="324" t="inlineStr">
        <is>
          <t>-</t>
        </is>
      </c>
      <c r="H33" s="324" t="inlineStr">
        <is>
          <t>-</t>
        </is>
      </c>
      <c r="I33" s="324" t="n">
        <v>46204</v>
      </c>
      <c r="J33" s="324" t="n">
        <v>46568</v>
      </c>
      <c r="K33" s="321" t="inlineStr">
        <is>
          <t>라이센스</t>
        </is>
      </c>
    </row>
    <row r="34" ht="15.75" customHeight="1">
      <c r="A34" s="321" t="n">
        <v>32</v>
      </c>
      <c r="B34" s="321" t="inlineStr">
        <is>
          <t>GPO492</t>
        </is>
      </c>
      <c r="C34" s="322" t="inlineStr">
        <is>
          <t>GDC</t>
        </is>
      </c>
      <c r="D34" s="322" t="inlineStr">
        <is>
          <t>라이센스</t>
        </is>
      </c>
      <c r="E34" s="323" t="n">
        <v>1800</v>
      </c>
      <c r="F34" s="321" t="inlineStr">
        <is>
          <t>TMS License 1년 연장 20screens (JOY N CINEMA 5 / CGV 구미 10 / CGV 광주충장로 5)</t>
        </is>
      </c>
      <c r="G34" s="324" t="inlineStr">
        <is>
          <t>-</t>
        </is>
      </c>
      <c r="H34" s="324" t="inlineStr">
        <is>
          <t>-</t>
        </is>
      </c>
      <c r="I34" s="324" t="n">
        <v>46204</v>
      </c>
      <c r="J34" s="324" t="n">
        <v>46568</v>
      </c>
      <c r="K34" s="321" t="inlineStr">
        <is>
          <t>라이센스</t>
        </is>
      </c>
    </row>
    <row r="35" ht="15.75" customHeight="1">
      <c r="A35" s="321" t="n">
        <v>33</v>
      </c>
      <c r="B35" s="321" t="inlineStr">
        <is>
          <t>GPO494</t>
        </is>
      </c>
      <c r="C35" s="322" t="inlineStr">
        <is>
          <t>GDC</t>
        </is>
      </c>
      <c r="D35" s="322" t="inlineStr">
        <is>
          <t>워런티(EW)</t>
        </is>
      </c>
      <c r="E35" s="323" t="n">
        <v>11955.52</v>
      </c>
      <c r="F35" s="321" t="inlineStr">
        <is>
          <t>SR-1000 Warranty Extension 22대 (롯데 구미센트럴 7 / CGV 대전가수원 5 / 금산시네마 2 / RNR 8)</t>
        </is>
      </c>
      <c r="G35" s="324" t="inlineStr">
        <is>
          <t>-</t>
        </is>
      </c>
      <c r="H35" s="324" t="inlineStr">
        <is>
          <t>-</t>
        </is>
      </c>
      <c r="I35" s="324" t="n">
        <v>46219</v>
      </c>
      <c r="J35" s="324" t="n">
        <v>46752</v>
      </c>
      <c r="K35" s="321" t="inlineStr">
        <is>
          <t>라이센스</t>
        </is>
      </c>
    </row>
    <row r="36" ht="15.75" customHeight="1">
      <c r="A36" s="321" t="n">
        <v>34</v>
      </c>
      <c r="B36" s="321" t="inlineStr">
        <is>
          <t>GPO495</t>
        </is>
      </c>
      <c r="C36" s="322" t="inlineStr">
        <is>
          <t>GDC</t>
        </is>
      </c>
      <c r="D36" s="322" t="inlineStr">
        <is>
          <t>라이센스</t>
        </is>
      </c>
      <c r="E36" s="323" t="n">
        <v>810</v>
      </c>
      <c r="F36" s="321" t="inlineStr">
        <is>
          <t>TMS-1000 License 1년 연장 9screens (CGV 동백)</t>
        </is>
      </c>
      <c r="G36" s="324" t="inlineStr">
        <is>
          <t>-</t>
        </is>
      </c>
      <c r="H36" s="324" t="inlineStr">
        <is>
          <t>-</t>
        </is>
      </c>
      <c r="I36" s="324" t="n">
        <v>46204</v>
      </c>
      <c r="J36" s="324" t="n">
        <v>46568</v>
      </c>
      <c r="K36" s="321" t="inlineStr">
        <is>
          <t>라이센스</t>
        </is>
      </c>
    </row>
    <row r="37" ht="15.75" customHeight="1">
      <c r="A37" s="321" t="n">
        <v>35</v>
      </c>
      <c r="B37" s="321" t="inlineStr">
        <is>
          <t>GPO496</t>
        </is>
      </c>
      <c r="C37" s="322" t="inlineStr">
        <is>
          <t>GDC</t>
        </is>
      </c>
      <c r="D37" s="322" t="inlineStr">
        <is>
          <t>워런티(EW)</t>
        </is>
      </c>
      <c r="E37" s="323" t="n">
        <v>3312</v>
      </c>
      <c r="F37" s="321" t="inlineStr">
        <is>
          <t>SR-1000 16개월 Warranty Extension 6대 (롯데 프리미엄 경남대, S/N A78703~A78708)</t>
        </is>
      </c>
      <c r="G37" s="324" t="inlineStr">
        <is>
          <t>-</t>
        </is>
      </c>
      <c r="H37" s="324" t="inlineStr">
        <is>
          <t>-</t>
        </is>
      </c>
      <c r="I37" s="324" t="n">
        <v>46266</v>
      </c>
      <c r="J37" s="324" t="n">
        <v>46752</v>
      </c>
      <c r="K37" s="321" t="inlineStr">
        <is>
          <t>라이센스</t>
        </is>
      </c>
    </row>
    <row r="38" ht="15.75" customHeight="1">
      <c r="A38" s="321" t="n">
        <v>36</v>
      </c>
      <c r="B38" s="321" t="inlineStr">
        <is>
          <t>GPO497</t>
        </is>
      </c>
      <c r="C38" s="322" t="inlineStr">
        <is>
          <t>GDC</t>
        </is>
      </c>
      <c r="D38" s="322" t="inlineStr">
        <is>
          <t>워런티(EW)</t>
        </is>
      </c>
      <c r="E38" s="323" t="n">
        <v>6408</v>
      </c>
      <c r="F38" s="321" t="inlineStr">
        <is>
          <t>LPU-1000 3년 Warranty Extension 1대 (독립기념관, S/N A53922)</t>
        </is>
      </c>
      <c r="G38" s="324" t="inlineStr">
        <is>
          <t>-</t>
        </is>
      </c>
      <c r="H38" s="324" t="inlineStr">
        <is>
          <t>-</t>
        </is>
      </c>
      <c r="I38" s="324" t="n">
        <v>45170</v>
      </c>
      <c r="J38" s="324" t="n">
        <v>46265</v>
      </c>
      <c r="K38" s="321" t="inlineStr">
        <is>
          <t>라이센스</t>
        </is>
      </c>
    </row>
    <row r="39" ht="15.75" customHeight="1">
      <c r="A39" s="321" t="n">
        <v>37</v>
      </c>
      <c r="B39" s="321" t="inlineStr">
        <is>
          <t>GPO498</t>
        </is>
      </c>
      <c r="C39" s="322" t="inlineStr">
        <is>
          <t>GDC</t>
        </is>
      </c>
      <c r="D39" s="322" t="inlineStr">
        <is>
          <t>라이센스</t>
        </is>
      </c>
      <c r="E39" s="323" t="n">
        <v>900</v>
      </c>
      <c r="F39" s="321" t="inlineStr">
        <is>
          <t>TMS License 연장 8screens (CGV 해운대 TMS-1000 6, 2026-09-01~2027-08-31 / Alps Cinema TMS-2000 2년 2, 2026-06-01~2028-05-31)</t>
        </is>
      </c>
      <c r="G39" s="324" t="inlineStr">
        <is>
          <t>-</t>
        </is>
      </c>
      <c r="H39" s="324" t="inlineStr">
        <is>
          <t>-</t>
        </is>
      </c>
      <c r="I39" s="324" t="n">
        <v>46174</v>
      </c>
      <c r="J39" s="324" t="n">
        <v>46904</v>
      </c>
      <c r="K39" s="321" t="inlineStr">
        <is>
          <t>라이센스</t>
        </is>
      </c>
    </row>
    <row r="40"/>
    <row r="70">
      <c r="M70" s="22" t="n"/>
    </row>
  </sheetData>
  <mergeCells count="1">
    <mergeCell ref="A1:K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1"/>
  <sheetViews>
    <sheetView showGridLines="0" zoomScaleNormal="100" workbookViewId="0">
      <selection activeCell="E5" sqref="E5"/>
    </sheetView>
  </sheetViews>
  <sheetFormatPr baseColWidth="10" defaultColWidth="8.6640625" defaultRowHeight="17"/>
  <cols>
    <col width="22" customWidth="1" style="234" min="1" max="1"/>
    <col width="12" customWidth="1" style="234" min="2" max="2"/>
    <col width="14" customWidth="1" style="234" min="3" max="3"/>
    <col width="8" customWidth="1" style="234" min="4" max="4"/>
    <col width="12.33203125" customWidth="1" style="51" min="5" max="5"/>
    <col width="14" customWidth="1" style="234" min="6" max="6"/>
    <col width="10.1640625" customWidth="1" style="51" min="7" max="7"/>
    <col width="14" customWidth="1" style="234" min="8" max="8"/>
    <col width="10.1640625" customWidth="1" style="51" min="9" max="9"/>
    <col width="20" customWidth="1" style="51" min="10" max="10"/>
    <col width="8.6640625" customWidth="1" style="234" min="11" max="16"/>
    <col width="8.6640625" customWidth="1" style="234" min="17" max="16384"/>
  </cols>
  <sheetData>
    <row r="1" ht="24" customHeight="1">
      <c r="A1" s="238" t="inlineStr">
        <is>
          <t>합배송 비용안분 상세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40" t="n"/>
      <c r="K1" s="316" t="n"/>
      <c r="L1" s="316" t="n"/>
      <c r="M1" s="316" t="n"/>
    </row>
    <row r="2" ht="15.75" customHeight="1">
      <c r="A2" s="325" t="inlineStr">
        <is>
          <t>수입신고번호별 PO 그룹핑 및 비용 배분  |  오렌지 = 합배송  |  녹색 = 단독</t>
        </is>
      </c>
      <c r="B2" s="219" t="n"/>
      <c r="C2" s="219" t="n"/>
      <c r="D2" s="219" t="n"/>
      <c r="E2" s="219" t="n"/>
      <c r="F2" s="219" t="n"/>
      <c r="G2" s="219" t="n"/>
      <c r="H2" s="219" t="n"/>
      <c r="I2" s="219" t="n"/>
      <c r="J2" s="220" t="n"/>
      <c r="K2" s="73" t="n"/>
      <c r="L2" s="73" t="n"/>
      <c r="M2" s="73" t="n"/>
    </row>
    <row r="3" ht="28" customHeight="1">
      <c r="A3" s="1" t="inlineStr">
        <is>
          <t>수입신고번호</t>
        </is>
      </c>
      <c r="B3" s="1" t="inlineStr">
        <is>
          <t>PO No.</t>
        </is>
      </c>
      <c r="C3" s="1" t="inlineStr">
        <is>
          <t>Invoice(USD)</t>
        </is>
      </c>
      <c r="D3" s="1" t="inlineStr">
        <is>
          <t>비율(%)</t>
        </is>
      </c>
      <c r="E3" s="1" t="inlineStr">
        <is>
          <t>관세사</t>
        </is>
      </c>
      <c r="F3" s="1" t="inlineStr">
        <is>
          <t>관세사비(배분)</t>
        </is>
      </c>
      <c r="G3" s="1" t="inlineStr">
        <is>
          <t>운송사</t>
        </is>
      </c>
      <c r="H3" s="1" t="inlineStr">
        <is>
          <t>운송료(배분)</t>
        </is>
      </c>
      <c r="I3" s="1" t="inlineStr">
        <is>
          <t>합배송여부</t>
        </is>
      </c>
      <c r="J3" s="1" t="inlineStr">
        <is>
          <t>비고</t>
        </is>
      </c>
      <c r="K3" s="74" t="n"/>
      <c r="L3" s="74" t="n"/>
      <c r="M3" s="74" t="n"/>
    </row>
    <row r="4" ht="15.75" customHeight="1">
      <c r="A4" s="12" t="inlineStr">
        <is>
          <t>2317625939353M</t>
        </is>
      </c>
      <c r="B4" s="12" t="inlineStr">
        <is>
          <t>GPO451</t>
        </is>
      </c>
      <c r="C4" s="23" t="n">
        <v>9060</v>
      </c>
      <c r="D4" s="326">
        <f>C4/C4</f>
        <v/>
      </c>
      <c r="E4" s="12" t="inlineStr">
        <is>
          <t>아인관세사</t>
        </is>
      </c>
      <c r="F4" s="8" t="n">
        <v>0</v>
      </c>
      <c r="G4" s="12" t="inlineStr">
        <is>
          <t>Fedex</t>
        </is>
      </c>
      <c r="H4" s="8" t="n">
        <v>0</v>
      </c>
      <c r="I4" s="12" t="inlineStr">
        <is>
          <t>단독</t>
        </is>
      </c>
      <c r="J4" s="12" t="n"/>
      <c r="K4" s="74" t="n"/>
      <c r="L4" s="74" t="n"/>
      <c r="M4" s="74" t="n"/>
    </row>
    <row r="5" ht="15.75" customHeight="1">
      <c r="A5" s="12" t="inlineStr">
        <is>
          <t>1421425100697M</t>
        </is>
      </c>
      <c r="B5" s="12" t="inlineStr">
        <is>
          <t>CPO679</t>
        </is>
      </c>
      <c r="C5" s="23" t="n">
        <v>4474</v>
      </c>
      <c r="D5" s="326">
        <f>C5/C5</f>
        <v/>
      </c>
      <c r="E5" s="12" t="inlineStr">
        <is>
          <t>아인관세사</t>
        </is>
      </c>
      <c r="F5" s="8" t="n">
        <v>36000</v>
      </c>
      <c r="G5" s="12" t="inlineStr">
        <is>
          <t>진로직스</t>
        </is>
      </c>
      <c r="H5" s="8" t="n">
        <v>590823</v>
      </c>
      <c r="I5" s="12" t="inlineStr">
        <is>
          <t>단독</t>
        </is>
      </c>
      <c r="J5" s="12" t="n"/>
      <c r="K5" s="74" t="n"/>
      <c r="L5" s="74" t="n"/>
      <c r="M5" s="74" t="n"/>
    </row>
    <row r="6" ht="15.75" customHeight="1">
      <c r="A6" s="14" t="inlineStr">
        <is>
          <t>1219925801471M</t>
        </is>
      </c>
      <c r="B6" s="14" t="inlineStr">
        <is>
          <t>CPO678-1</t>
        </is>
      </c>
      <c r="C6" s="24" t="n">
        <v>139083</v>
      </c>
      <c r="D6" s="327">
        <f>C6/(C6+C7)</f>
        <v/>
      </c>
      <c r="E6" s="14" t="inlineStr">
        <is>
          <t>다민관세사</t>
        </is>
      </c>
      <c r="F6" s="16">
        <f>ROUND(149999*D6,0)</f>
        <v/>
      </c>
      <c r="G6" s="14" t="inlineStr">
        <is>
          <t>진로직스</t>
        </is>
      </c>
      <c r="H6" s="16">
        <f>ROUND(2475146*D6,0)</f>
        <v/>
      </c>
      <c r="I6" s="14" t="inlineStr">
        <is>
          <t>합배송</t>
        </is>
      </c>
      <c r="J6" s="14" t="inlineStr">
        <is>
          <t>2건 합산</t>
        </is>
      </c>
      <c r="K6" s="74" t="n"/>
      <c r="L6" s="74" t="n"/>
      <c r="M6" s="74" t="n"/>
    </row>
    <row r="7" ht="15.75" customHeight="1">
      <c r="A7" s="14" t="n"/>
      <c r="B7" s="14" t="inlineStr">
        <is>
          <t>CPO680</t>
        </is>
      </c>
      <c r="C7" s="24" t="n">
        <v>252</v>
      </c>
      <c r="D7" s="327">
        <f>C7/(C6+C7)</f>
        <v/>
      </c>
      <c r="E7" s="14" t="inlineStr">
        <is>
          <t>다민관세사</t>
        </is>
      </c>
      <c r="F7" s="16">
        <f>149999-F6</f>
        <v/>
      </c>
      <c r="G7" s="14" t="inlineStr">
        <is>
          <t>진로직스</t>
        </is>
      </c>
      <c r="H7" s="16">
        <f>2475146-H6</f>
        <v/>
      </c>
      <c r="I7" s="14" t="inlineStr">
        <is>
          <t>합배송</t>
        </is>
      </c>
      <c r="J7" s="14" t="n"/>
      <c r="K7" s="74" t="n"/>
      <c r="L7" s="74" t="n"/>
      <c r="M7" s="74" t="n"/>
    </row>
    <row r="8" ht="15.75" customHeight="1">
      <c r="A8" s="12" t="inlineStr">
        <is>
          <t>1400826101004M</t>
        </is>
      </c>
      <c r="B8" s="12" t="inlineStr">
        <is>
          <t>CPO678-2</t>
        </is>
      </c>
      <c r="C8" s="23" t="n">
        <v>137850</v>
      </c>
      <c r="D8" s="326">
        <f>C8/C8</f>
        <v/>
      </c>
      <c r="E8" s="12" t="inlineStr">
        <is>
          <t>조운관세사</t>
        </is>
      </c>
      <c r="F8" s="8" t="n">
        <v>263400</v>
      </c>
      <c r="G8" s="12" t="inlineStr">
        <is>
          <t>진로직스</t>
        </is>
      </c>
      <c r="H8" s="8" t="n">
        <v>2385057</v>
      </c>
      <c r="I8" s="12" t="inlineStr">
        <is>
          <t>단독</t>
        </is>
      </c>
      <c r="J8" s="12" t="n"/>
      <c r="K8" s="74" t="n"/>
      <c r="L8" s="74" t="n"/>
      <c r="M8" s="74" t="n"/>
    </row>
    <row r="9" ht="15.75" customHeight="1">
      <c r="A9" s="14" t="inlineStr">
        <is>
          <t>1400825101450M</t>
        </is>
      </c>
      <c r="B9" s="14" t="inlineStr">
        <is>
          <t>CPO682</t>
        </is>
      </c>
      <c r="C9" s="24" t="n">
        <v>20174</v>
      </c>
      <c r="D9" s="327">
        <f>C9/(C9+C10)</f>
        <v/>
      </c>
      <c r="E9" s="14" t="inlineStr">
        <is>
          <t>아인관세사</t>
        </is>
      </c>
      <c r="F9" s="16">
        <f>ROUND(107399*D9,0)</f>
        <v/>
      </c>
      <c r="G9" s="14" t="inlineStr">
        <is>
          <t>진로직스</t>
        </is>
      </c>
      <c r="H9" s="16">
        <f>ROUND(2291051*D9,0)</f>
        <v/>
      </c>
      <c r="I9" s="14" t="inlineStr">
        <is>
          <t>합배송</t>
        </is>
      </c>
      <c r="J9" s="14" t="inlineStr">
        <is>
          <t>2건 합산</t>
        </is>
      </c>
      <c r="K9" s="74" t="n"/>
      <c r="L9" s="74" t="n"/>
      <c r="M9" s="74" t="n"/>
    </row>
    <row r="10" ht="15.75" customHeight="1">
      <c r="A10" s="14" t="n"/>
      <c r="B10" s="14" t="inlineStr">
        <is>
          <t>CPO683</t>
        </is>
      </c>
      <c r="C10" s="24" t="n">
        <v>4620</v>
      </c>
      <c r="D10" s="327">
        <f>C10/(C9+C10)</f>
        <v/>
      </c>
      <c r="E10" s="14" t="inlineStr">
        <is>
          <t>아인관세사</t>
        </is>
      </c>
      <c r="F10" s="16">
        <f>107399-F9</f>
        <v/>
      </c>
      <c r="G10" s="14" t="inlineStr">
        <is>
          <t>진로직스</t>
        </is>
      </c>
      <c r="H10" s="16">
        <f>2291051-H9</f>
        <v/>
      </c>
      <c r="I10" s="14" t="inlineStr">
        <is>
          <t>합배송</t>
        </is>
      </c>
      <c r="J10" s="14" t="n"/>
      <c r="K10" s="74" t="n"/>
      <c r="L10" s="74" t="n"/>
      <c r="M10" s="74" t="n"/>
    </row>
    <row r="11" ht="15.75" customHeight="1">
      <c r="A11" s="14" t="inlineStr">
        <is>
          <t>1421426100153M</t>
        </is>
      </c>
      <c r="B11" s="14" t="inlineStr">
        <is>
          <t>MPO66</t>
        </is>
      </c>
      <c r="C11" s="24" t="n">
        <v>9626.35</v>
      </c>
      <c r="D11" s="327">
        <f>C11/(C11+C12)</f>
        <v/>
      </c>
      <c r="E11" s="14" t="inlineStr">
        <is>
          <t>아인관세사</t>
        </is>
      </c>
      <c r="F11" s="16">
        <f>ROUND(141580*D11,0)</f>
        <v/>
      </c>
      <c r="G11" s="14" t="inlineStr">
        <is>
          <t>진로직스</t>
        </is>
      </c>
      <c r="H11" s="16">
        <f>ROUND(4070383*D11,0)</f>
        <v/>
      </c>
      <c r="I11" s="14" t="inlineStr">
        <is>
          <t>합배송</t>
        </is>
      </c>
      <c r="J11" s="14" t="inlineStr">
        <is>
          <t>2건 합산</t>
        </is>
      </c>
      <c r="K11" s="74" t="n"/>
      <c r="L11" s="74" t="n"/>
      <c r="M11" s="74" t="n"/>
    </row>
    <row r="12" ht="15.75" customHeight="1">
      <c r="A12" s="14" t="n"/>
      <c r="B12" s="14" t="inlineStr">
        <is>
          <t>MPO65</t>
        </is>
      </c>
      <c r="C12" s="24" t="n">
        <v>4936</v>
      </c>
      <c r="D12" s="327">
        <f>C12/(C11+C12)</f>
        <v/>
      </c>
      <c r="E12" s="14" t="inlineStr">
        <is>
          <t>아인관세사</t>
        </is>
      </c>
      <c r="F12" s="16">
        <f>141580-F11</f>
        <v/>
      </c>
      <c r="G12" s="14" t="inlineStr">
        <is>
          <t>진로직스</t>
        </is>
      </c>
      <c r="H12" s="16">
        <f>4070383-H11</f>
        <v/>
      </c>
      <c r="I12" s="14" t="inlineStr">
        <is>
          <t>합배송</t>
        </is>
      </c>
      <c r="J12" s="14" t="n"/>
      <c r="K12" s="74" t="n"/>
      <c r="L12" s="74" t="n"/>
      <c r="M12" s="74" t="n"/>
    </row>
    <row r="13" ht="15.75" customHeight="1">
      <c r="A13" s="12" t="inlineStr">
        <is>
          <t>2317626105219M</t>
        </is>
      </c>
      <c r="B13" s="12" t="inlineStr">
        <is>
          <t>GPO467</t>
        </is>
      </c>
      <c r="C13" s="23" t="n">
        <v>1700</v>
      </c>
      <c r="D13" s="326">
        <f>C13/C13</f>
        <v/>
      </c>
      <c r="E13" s="12" t="n">
        <v>0</v>
      </c>
      <c r="F13" s="8" t="n">
        <v>0</v>
      </c>
      <c r="G13" s="12" t="inlineStr">
        <is>
          <t>Fedex</t>
        </is>
      </c>
      <c r="H13" s="8" t="n">
        <v>136050</v>
      </c>
      <c r="I13" s="12" t="inlineStr">
        <is>
          <t>단독</t>
        </is>
      </c>
      <c r="J13" s="12" t="n"/>
      <c r="K13" s="74" t="n"/>
      <c r="L13" s="74" t="n"/>
      <c r="M13" s="74" t="n"/>
    </row>
    <row r="14" ht="15.75" customHeight="1">
      <c r="A14" s="14" t="inlineStr">
        <is>
          <t>1400826101085M</t>
        </is>
      </c>
      <c r="B14" s="14" t="inlineStr">
        <is>
          <t>GPO472</t>
        </is>
      </c>
      <c r="C14" s="24" t="n">
        <v>180</v>
      </c>
      <c r="D14" s="327">
        <f>C14/(C14+C15)</f>
        <v/>
      </c>
      <c r="E14" s="14" t="inlineStr">
        <is>
          <t>조운관세사</t>
        </is>
      </c>
      <c r="F14" s="16">
        <f>ROUND(138399*D14,0)</f>
        <v/>
      </c>
      <c r="G14" s="14" t="inlineStr">
        <is>
          <t>진로직스</t>
        </is>
      </c>
      <c r="H14" s="16">
        <f>ROUND(1238260*D14,0)</f>
        <v/>
      </c>
      <c r="I14" s="14" t="inlineStr">
        <is>
          <t>합배송</t>
        </is>
      </c>
      <c r="J14" s="14" t="inlineStr">
        <is>
          <t>2건 합산</t>
        </is>
      </c>
      <c r="K14" s="74" t="n"/>
      <c r="L14" s="74" t="n"/>
      <c r="M14" s="74" t="n"/>
    </row>
    <row r="15" ht="15.75" customHeight="1">
      <c r="A15" s="14" t="n"/>
      <c r="B15" s="14" t="inlineStr">
        <is>
          <t>GPO468-1</t>
        </is>
      </c>
      <c r="C15" s="24" t="n">
        <v>36190</v>
      </c>
      <c r="D15" s="327">
        <f>C15/(C14+C15)</f>
        <v/>
      </c>
      <c r="E15" s="14" t="inlineStr">
        <is>
          <t>조운관세사</t>
        </is>
      </c>
      <c r="F15" s="16">
        <f>138399-F14</f>
        <v/>
      </c>
      <c r="G15" s="14" t="inlineStr">
        <is>
          <t>진로직스</t>
        </is>
      </c>
      <c r="H15" s="16">
        <f>1238260-H14</f>
        <v/>
      </c>
      <c r="I15" s="14" t="inlineStr">
        <is>
          <t>합배송</t>
        </is>
      </c>
      <c r="J15" s="14" t="n"/>
      <c r="K15" s="74" t="n"/>
      <c r="L15" s="74" t="n"/>
      <c r="M15" s="74" t="n"/>
    </row>
    <row r="16" ht="15.75" customHeight="1">
      <c r="A16" s="12" t="inlineStr">
        <is>
          <t>2317626006259M</t>
        </is>
      </c>
      <c r="B16" s="12" t="inlineStr">
        <is>
          <t>GPO460</t>
        </is>
      </c>
      <c r="C16" s="23" t="n">
        <v>2710</v>
      </c>
      <c r="D16" s="326">
        <f>C16/C16</f>
        <v/>
      </c>
      <c r="E16" s="12" t="n">
        <v>0</v>
      </c>
      <c r="F16" s="8" t="n">
        <v>0</v>
      </c>
      <c r="G16" s="12" t="inlineStr">
        <is>
          <t>Fedex</t>
        </is>
      </c>
      <c r="H16" s="8" t="n">
        <v>0</v>
      </c>
      <c r="I16" s="12" t="inlineStr">
        <is>
          <t>단독</t>
        </is>
      </c>
      <c r="J16" s="12" t="n"/>
      <c r="K16" s="74" t="n"/>
      <c r="L16" s="74" t="n"/>
      <c r="M16" s="74" t="n"/>
    </row>
    <row r="17" ht="15.75" customHeight="1">
      <c r="A17" s="12" t="inlineStr">
        <is>
          <t>2317626055855M</t>
        </is>
      </c>
      <c r="B17" s="12" t="inlineStr">
        <is>
          <t>CPO689</t>
        </is>
      </c>
      <c r="C17" s="23" t="n">
        <v>2745</v>
      </c>
      <c r="D17" s="326">
        <f>C17/C17</f>
        <v/>
      </c>
      <c r="E17" s="12" t="n">
        <v>0</v>
      </c>
      <c r="F17" s="8" t="n">
        <v>0</v>
      </c>
      <c r="G17" s="12" t="inlineStr">
        <is>
          <t>Fedex</t>
        </is>
      </c>
      <c r="H17" s="8" t="n">
        <v>162080</v>
      </c>
      <c r="I17" s="12" t="inlineStr">
        <is>
          <t>단독</t>
        </is>
      </c>
      <c r="J17" s="12" t="n"/>
      <c r="K17" s="74" t="n"/>
      <c r="L17" s="74" t="n"/>
      <c r="M17" s="74" t="n"/>
    </row>
    <row r="18" ht="15.75" customHeight="1">
      <c r="A18" s="12" t="inlineStr">
        <is>
          <t>2235626096487M</t>
        </is>
      </c>
      <c r="B18" s="12" t="inlineStr">
        <is>
          <t>CPO690</t>
        </is>
      </c>
      <c r="C18" s="23" t="n">
        <v>9740</v>
      </c>
      <c r="D18" s="326">
        <f>C18/C18</f>
        <v/>
      </c>
      <c r="E18" s="12" t="n">
        <v>0</v>
      </c>
      <c r="F18" s="8" t="n">
        <v>0</v>
      </c>
      <c r="G18" s="12" t="inlineStr">
        <is>
          <t>DHL</t>
        </is>
      </c>
      <c r="H18" s="8" t="n">
        <v>1561040</v>
      </c>
      <c r="I18" s="12" t="inlineStr">
        <is>
          <t>단독</t>
        </is>
      </c>
      <c r="J18" s="12" t="n"/>
      <c r="K18" s="74" t="n"/>
      <c r="L18" s="74" t="n"/>
      <c r="M18" s="74" t="n"/>
    </row>
    <row r="19" ht="15.75" customHeight="1">
      <c r="A19" s="12" t="inlineStr">
        <is>
          <t>1421426100183M</t>
        </is>
      </c>
      <c r="B19" s="12" t="inlineStr">
        <is>
          <t>LPO001</t>
        </is>
      </c>
      <c r="C19" s="23" t="n">
        <v>5056.8</v>
      </c>
      <c r="D19" s="326">
        <f>C19/C19</f>
        <v/>
      </c>
      <c r="E19" s="12" t="inlineStr">
        <is>
          <t>아인관세사</t>
        </is>
      </c>
      <c r="F19" s="8" t="n">
        <v>36000</v>
      </c>
      <c r="G19" s="12" t="inlineStr">
        <is>
          <t>진로직스</t>
        </is>
      </c>
      <c r="H19" s="8" t="n">
        <v>581438</v>
      </c>
      <c r="I19" s="12" t="inlineStr">
        <is>
          <t>단독</t>
        </is>
      </c>
      <c r="J19" s="12" t="n"/>
      <c r="K19" s="74" t="n"/>
      <c r="L19" s="74" t="n"/>
      <c r="M19" s="74" t="n"/>
    </row>
    <row r="20" ht="15.75" customHeight="1">
      <c r="A20" s="12" t="inlineStr">
        <is>
          <t>2317626258975M</t>
        </is>
      </c>
      <c r="B20" s="12" t="inlineStr">
        <is>
          <t>GPO468-2</t>
        </is>
      </c>
      <c r="C20" s="23" t="n">
        <v>21280</v>
      </c>
      <c r="D20" s="326">
        <f>C20/C20</f>
        <v/>
      </c>
      <c r="E20" s="12" t="n">
        <v>0</v>
      </c>
      <c r="F20" s="8" t="n">
        <v>0</v>
      </c>
      <c r="G20" s="12" t="inlineStr">
        <is>
          <t>Fedex</t>
        </is>
      </c>
      <c r="H20" s="8" t="n">
        <v>904960</v>
      </c>
      <c r="I20" s="12" t="inlineStr">
        <is>
          <t>단독</t>
        </is>
      </c>
      <c r="J20" s="12" t="n"/>
      <c r="K20" s="74" t="n"/>
      <c r="L20" s="74" t="n"/>
      <c r="M20" s="74" t="n"/>
    </row>
    <row r="21" ht="15.75" customHeight="1">
      <c r="A21" s="12" t="inlineStr">
        <is>
          <t>2235626138790M</t>
        </is>
      </c>
      <c r="B21" s="12" t="inlineStr">
        <is>
          <t>CPO692-1</t>
        </is>
      </c>
      <c r="C21" s="23" t="n">
        <v>11000</v>
      </c>
      <c r="D21" s="326">
        <f>C21/C21</f>
        <v/>
      </c>
      <c r="E21" s="12" t="n">
        <v>0</v>
      </c>
      <c r="F21" s="8" t="n">
        <v>0</v>
      </c>
      <c r="G21" s="12" t="inlineStr">
        <is>
          <t>DHL</t>
        </is>
      </c>
      <c r="H21" s="8" t="n">
        <v>1553086</v>
      </c>
      <c r="I21" s="12" t="inlineStr">
        <is>
          <t>단독</t>
        </is>
      </c>
      <c r="J21" s="12" t="n"/>
      <c r="K21" s="74" t="n"/>
      <c r="L21" s="74" t="n"/>
      <c r="M21" s="74" t="n"/>
    </row>
    <row r="22" ht="15.75" customHeight="1">
      <c r="A22" s="12" t="inlineStr">
        <is>
          <t>1400826101051M</t>
        </is>
      </c>
      <c r="B22" s="12" t="inlineStr">
        <is>
          <t>CPO692-2</t>
        </is>
      </c>
      <c r="C22" s="23" t="n">
        <v>286580</v>
      </c>
      <c r="D22" s="326">
        <f>C22/C22</f>
        <v/>
      </c>
      <c r="E22" s="12" t="inlineStr">
        <is>
          <t>조운관세사</t>
        </is>
      </c>
      <c r="F22" s="8" t="n">
        <v>250000</v>
      </c>
      <c r="G22" s="12" t="inlineStr">
        <is>
          <t>진로직스</t>
        </is>
      </c>
      <c r="H22" s="8" t="n">
        <v>2649525</v>
      </c>
      <c r="I22" s="12" t="inlineStr">
        <is>
          <t>단독</t>
        </is>
      </c>
      <c r="J22" s="12" t="n"/>
      <c r="K22" s="74" t="n"/>
      <c r="L22" s="74" t="n"/>
      <c r="M22" s="74" t="n"/>
    </row>
    <row r="23" ht="15.75" customHeight="1">
      <c r="A23" s="12" t="inlineStr">
        <is>
          <t>2235626283517M</t>
        </is>
      </c>
      <c r="B23" s="12" t="inlineStr">
        <is>
          <t>CPO695-1</t>
        </is>
      </c>
      <c r="C23" s="23" t="n">
        <v>2058</v>
      </c>
      <c r="D23" s="326">
        <f>C23/C23</f>
        <v/>
      </c>
      <c r="E23" s="12" t="inlineStr">
        <is>
          <t>운서합동</t>
        </is>
      </c>
      <c r="F23" s="8" t="n">
        <v>0</v>
      </c>
      <c r="G23" s="12" t="inlineStr">
        <is>
          <t>DHL</t>
        </is>
      </c>
      <c r="H23" s="8" t="n">
        <v>6264783</v>
      </c>
      <c r="I23" s="12" t="inlineStr">
        <is>
          <t>단독</t>
        </is>
      </c>
      <c r="J23" s="12" t="n"/>
      <c r="K23" s="74" t="n"/>
      <c r="L23" s="74" t="n"/>
      <c r="M23" s="74" t="n"/>
    </row>
    <row r="24" ht="15.75" customHeight="1">
      <c r="A24" s="12" t="inlineStr">
        <is>
          <t>2235626277307M</t>
        </is>
      </c>
      <c r="B24" s="12" t="inlineStr">
        <is>
          <t>CPO695-2</t>
        </is>
      </c>
      <c r="C24" s="23" t="n">
        <v>1977</v>
      </c>
      <c r="D24" s="326">
        <f>C24/C24</f>
        <v/>
      </c>
      <c r="E24" s="12" t="inlineStr">
        <is>
          <t>운서합동</t>
        </is>
      </c>
      <c r="F24" s="8" t="n">
        <v>0</v>
      </c>
      <c r="G24" s="12" t="inlineStr">
        <is>
          <t>DHL</t>
        </is>
      </c>
      <c r="H24" s="8" t="n">
        <v>1454605</v>
      </c>
      <c r="I24" s="12" t="inlineStr">
        <is>
          <t>단독</t>
        </is>
      </c>
      <c r="J24" s="12" t="n"/>
      <c r="K24" s="74" t="n"/>
      <c r="L24" s="74" t="n"/>
      <c r="M24" s="74" t="n"/>
    </row>
    <row r="25" ht="15.75" customHeight="1">
      <c r="A25" s="55" t="inlineStr">
        <is>
          <t>14008-26-101125M</t>
        </is>
      </c>
      <c r="B25" s="55" t="inlineStr">
        <is>
          <t>CPO696-1</t>
        </is>
      </c>
      <c r="C25" s="56" t="n">
        <v>78209</v>
      </c>
      <c r="D25" s="328" t="n">
        <v>1</v>
      </c>
      <c r="E25" s="55" t="inlineStr">
        <is>
          <t>조운관세사</t>
        </is>
      </c>
      <c r="F25" s="58" t="n">
        <v>286000</v>
      </c>
      <c r="G25" s="55" t="inlineStr">
        <is>
          <t>진로직스</t>
        </is>
      </c>
      <c r="H25" s="58" t="n">
        <v>3909069</v>
      </c>
      <c r="I25" s="55" t="inlineStr">
        <is>
          <t>단독</t>
        </is>
      </c>
      <c r="J25" s="55" t="n"/>
      <c r="K25" s="59" t="n"/>
      <c r="L25" s="59" t="n"/>
      <c r="M25" s="74" t="n"/>
    </row>
    <row r="26" ht="15.75" customHeight="1">
      <c r="A26" s="55" t="inlineStr">
        <is>
          <t>14008-26-101129M</t>
        </is>
      </c>
      <c r="B26" s="55" t="inlineStr">
        <is>
          <t>CPO696-2</t>
        </is>
      </c>
      <c r="C26" s="56" t="n">
        <v>8140</v>
      </c>
      <c r="D26" s="328" t="n">
        <v>1</v>
      </c>
      <c r="E26" s="55" t="inlineStr">
        <is>
          <t>조운관세사</t>
        </is>
      </c>
      <c r="F26" s="58" t="n">
        <v>33000</v>
      </c>
      <c r="G26" s="55" t="inlineStr">
        <is>
          <t>진로직스</t>
        </is>
      </c>
      <c r="H26" s="58" t="n">
        <v>846621</v>
      </c>
      <c r="I26" s="55" t="inlineStr">
        <is>
          <t>단독</t>
        </is>
      </c>
      <c r="J26" s="55" t="n"/>
      <c r="K26" s="59" t="n"/>
      <c r="L26" s="59" t="n"/>
      <c r="M26" s="74" t="n"/>
    </row>
    <row r="27" ht="15.75" customHeight="1">
      <c r="A27" s="128" t="inlineStr">
        <is>
          <t>14008-26-101147M</t>
        </is>
      </c>
      <c r="B27" s="128" t="inlineStr">
        <is>
          <t>FRC-MONOPLEX26</t>
        </is>
      </c>
      <c r="C27" s="129" t="n">
        <v>51952</v>
      </c>
      <c r="D27" s="329" t="n">
        <v>1</v>
      </c>
      <c r="E27" s="128" t="inlineStr">
        <is>
          <t>조운관세사</t>
        </is>
      </c>
      <c r="F27" s="131" t="n">
        <v>250000</v>
      </c>
      <c r="G27" s="128" t="inlineStr">
        <is>
          <t>진로직스</t>
        </is>
      </c>
      <c r="H27" s="131" t="n">
        <v>5233502</v>
      </c>
      <c r="I27" s="128" t="inlineStr">
        <is>
          <t>단독</t>
        </is>
      </c>
      <c r="J27" s="128" t="n"/>
      <c r="K27" s="74" t="n"/>
      <c r="L27" s="74" t="n"/>
      <c r="M27" s="74" t="n"/>
    </row>
    <row r="28" ht="15.75" customHeight="1">
      <c r="A28" s="128" t="inlineStr">
        <is>
          <t>14008-26-101170M</t>
        </is>
      </c>
      <c r="B28" s="128" t="inlineStr">
        <is>
          <t>GPO473-2</t>
        </is>
      </c>
      <c r="C28" s="129" t="n">
        <v>69160</v>
      </c>
      <c r="D28" s="329" t="n">
        <v>1</v>
      </c>
      <c r="E28" s="128" t="inlineStr">
        <is>
          <t>조운관세사</t>
        </is>
      </c>
      <c r="F28" s="131" t="n">
        <v>250000</v>
      </c>
      <c r="G28" s="128" t="inlineStr">
        <is>
          <t>진로직스</t>
        </is>
      </c>
      <c r="H28" s="131" t="n">
        <v>3759954</v>
      </c>
      <c r="I28" s="128" t="inlineStr">
        <is>
          <t>단독</t>
        </is>
      </c>
      <c r="J28" s="128" t="inlineStr">
        <is>
          <t>통관 USD 98,800 (FOC loan 6 SET 포함)</t>
        </is>
      </c>
      <c r="K28" s="74" t="n"/>
      <c r="L28" s="74" t="n"/>
      <c r="M28" s="74" t="n"/>
    </row>
    <row r="29" ht="15.75" customHeight="1">
      <c r="A29" s="128" t="inlineStr">
        <is>
          <t>14008-26-101191M</t>
        </is>
      </c>
      <c r="B29" s="128" t="inlineStr">
        <is>
          <t>GPO473-3</t>
        </is>
      </c>
      <c r="C29" s="129" t="n">
        <v>49400</v>
      </c>
      <c r="D29" s="329" t="n">
        <v>1</v>
      </c>
      <c r="E29" s="128" t="inlineStr">
        <is>
          <t>조운관세사</t>
        </is>
      </c>
      <c r="F29" s="131" t="n">
        <v>250000</v>
      </c>
      <c r="G29" s="128" t="inlineStr">
        <is>
          <t>진로직스</t>
        </is>
      </c>
      <c r="H29" s="131" t="n">
        <v>2259958</v>
      </c>
      <c r="I29" s="128" t="inlineStr">
        <is>
          <t>단독</t>
        </is>
      </c>
      <c r="J29" s="128" t="n"/>
      <c r="K29" s="74" t="n"/>
      <c r="L29" s="74" t="n"/>
      <c r="M29" s="74" t="n"/>
    </row>
    <row r="30" ht="15.75" customHeight="1">
      <c r="A30" s="139" t="inlineStr">
        <is>
          <t>14008-26-101140M</t>
        </is>
      </c>
      <c r="B30" s="139" t="inlineStr">
        <is>
          <t>CPO696-3</t>
        </is>
      </c>
      <c r="C30" s="140" t="n">
        <v>351274</v>
      </c>
      <c r="D30" s="330">
        <f>C30/C30</f>
        <v/>
      </c>
      <c r="E30" s="139" t="inlineStr">
        <is>
          <t>조운관세사무소</t>
        </is>
      </c>
      <c r="F30" s="142" t="n">
        <v>250000</v>
      </c>
      <c r="G30" s="139" t="inlineStr">
        <is>
          <t>조운관세사무소</t>
        </is>
      </c>
      <c r="H30" s="142" t="n">
        <v>3103207</v>
      </c>
      <c r="I30" s="139" t="inlineStr">
        <is>
          <t>단독</t>
        </is>
      </c>
      <c r="J30" s="139" t="n"/>
      <c r="K30" s="127" t="n"/>
      <c r="L30" s="127" t="n"/>
      <c r="M30" s="127" t="n"/>
    </row>
    <row r="31" ht="15.75" customHeight="1">
      <c r="A31" s="139" t="inlineStr">
        <is>
          <t>14008-26-101148M</t>
        </is>
      </c>
      <c r="B31" s="139" t="inlineStr">
        <is>
          <t>GPO473-1</t>
        </is>
      </c>
      <c r="C31" s="140" t="n">
        <v>98800</v>
      </c>
      <c r="D31" s="330">
        <f>C31/C31</f>
        <v/>
      </c>
      <c r="E31" s="139" t="inlineStr">
        <is>
          <t>조운관세사무소</t>
        </is>
      </c>
      <c r="F31" s="142" t="n">
        <v>250000</v>
      </c>
      <c r="G31" s="139" t="inlineStr">
        <is>
          <t>조운관세사무소</t>
        </is>
      </c>
      <c r="H31" s="142" t="n">
        <v>3636072</v>
      </c>
      <c r="I31" s="139" t="inlineStr">
        <is>
          <t>단독</t>
        </is>
      </c>
      <c r="J31" s="139" t="n"/>
      <c r="K31" s="127" t="n"/>
      <c r="L31" s="127" t="n"/>
      <c r="M31" s="127" t="n"/>
    </row>
    <row r="32" ht="15.75" customHeight="1">
      <c r="A32" s="139" t="inlineStr">
        <is>
          <t>14008-26-101168M</t>
        </is>
      </c>
      <c r="B32" s="139" t="inlineStr">
        <is>
          <t>CPO696-4</t>
        </is>
      </c>
      <c r="C32" s="140" t="n">
        <v>807233</v>
      </c>
      <c r="D32" s="330">
        <f>C32/C32</f>
        <v/>
      </c>
      <c r="E32" s="139" t="inlineStr">
        <is>
          <t>조운관세사무소</t>
        </is>
      </c>
      <c r="F32" s="142" t="n">
        <v>250000</v>
      </c>
      <c r="G32" s="139" t="inlineStr">
        <is>
          <t>조운관세사무소</t>
        </is>
      </c>
      <c r="H32" s="142" t="n">
        <v>3270326</v>
      </c>
      <c r="I32" s="139" t="inlineStr">
        <is>
          <t>단독</t>
        </is>
      </c>
      <c r="J32" s="139" t="n"/>
      <c r="K32" s="127" t="n"/>
      <c r="L32" s="127" t="n"/>
      <c r="M32" s="127" t="n"/>
    </row>
    <row r="33" ht="15.75" customHeight="1">
      <c r="A33" s="139" t="inlineStr">
        <is>
          <t>883504210357</t>
        </is>
      </c>
      <c r="B33" s="139" t="inlineStr">
        <is>
          <t>IPO016</t>
        </is>
      </c>
      <c r="C33" s="140" t="n">
        <v>6800</v>
      </c>
      <c r="D33" s="330">
        <f>C33/C33</f>
        <v/>
      </c>
      <c r="E33" s="139" t="inlineStr">
        <is>
          <t>인천세관(특송)</t>
        </is>
      </c>
      <c r="F33" s="142" t="n">
        <v>0</v>
      </c>
      <c r="G33" s="139" t="inlineStr">
        <is>
          <t>DHL</t>
        </is>
      </c>
      <c r="H33" s="142" t="n">
        <v>0</v>
      </c>
      <c r="I33" s="139" t="inlineStr">
        <is>
          <t>단독</t>
        </is>
      </c>
      <c r="J33" s="139" t="n"/>
      <c r="K33" s="127" t="n"/>
      <c r="L33" s="127" t="n"/>
      <c r="M33" s="127" t="n"/>
    </row>
    <row r="34" ht="15.75" customHeight="1">
      <c r="A34" s="139" t="inlineStr">
        <is>
          <t>22356-26-351613M</t>
        </is>
      </c>
      <c r="B34" s="139" t="inlineStr">
        <is>
          <t>SX3000수리</t>
        </is>
      </c>
      <c r="C34" s="140" t="n">
        <v>400</v>
      </c>
      <c r="D34" s="330">
        <f>C34/C34</f>
        <v/>
      </c>
      <c r="E34" s="139" t="inlineStr">
        <is>
          <t>운서합동관세사무소</t>
        </is>
      </c>
      <c r="F34" s="142" t="n">
        <v>0</v>
      </c>
      <c r="G34" s="139" t="inlineStr">
        <is>
          <t>DHL</t>
        </is>
      </c>
      <c r="H34" s="142" t="n">
        <v>216006</v>
      </c>
      <c r="I34" s="139" t="inlineStr">
        <is>
          <t>단독</t>
        </is>
      </c>
      <c r="J34" s="139" t="n"/>
      <c r="K34" s="127" t="n"/>
      <c r="L34" s="127" t="n"/>
      <c r="M34" s="127" t="n"/>
    </row>
    <row r="35" ht="15.75" customHeight="1">
      <c r="A35" s="139" t="inlineStr">
        <is>
          <t>2235626346781M</t>
        </is>
      </c>
      <c r="B35" s="139" t="inlineStr">
        <is>
          <t>CPO698</t>
        </is>
      </c>
      <c r="C35" s="140" t="n">
        <v>4290</v>
      </c>
      <c r="D35" s="330">
        <f>C35/C35</f>
        <v/>
      </c>
      <c r="E35" s="139" t="inlineStr">
        <is>
          <t>운서합동관세사무소</t>
        </is>
      </c>
      <c r="F35" s="142" t="n">
        <v>0</v>
      </c>
      <c r="G35" s="139" t="inlineStr">
        <is>
          <t>DHL</t>
        </is>
      </c>
      <c r="H35" s="142" t="n">
        <v>174806</v>
      </c>
      <c r="I35" s="139" t="inlineStr">
        <is>
          <t>단독</t>
        </is>
      </c>
      <c r="J35" s="139" t="n"/>
      <c r="K35" s="127" t="n"/>
      <c r="L35" s="127" t="n"/>
      <c r="M35" s="127" t="n"/>
    </row>
    <row r="36" ht="15.75" customHeight="1">
      <c r="A36" s="139" t="inlineStr">
        <is>
          <t>14008-26-101227M</t>
        </is>
      </c>
      <c r="B36" s="139" t="inlineStr">
        <is>
          <t>CPO696-5</t>
        </is>
      </c>
      <c r="C36" s="140" t="n">
        <v>346792</v>
      </c>
      <c r="D36" s="330">
        <f>C36/C36</f>
        <v/>
      </c>
      <c r="E36" s="139" t="inlineStr">
        <is>
          <t>조운관세사무소</t>
        </is>
      </c>
      <c r="F36" s="142" t="n">
        <v>286000</v>
      </c>
      <c r="G36" s="139" t="inlineStr">
        <is>
          <t>진로직스</t>
        </is>
      </c>
      <c r="H36" s="142" t="n">
        <v>2898404</v>
      </c>
      <c r="I36" s="139" t="inlineStr">
        <is>
          <t>단독</t>
        </is>
      </c>
      <c r="J36" s="139" t="n"/>
    </row>
    <row r="37" ht="15.75" customHeight="1">
      <c r="A37" s="182" t="inlineStr">
        <is>
          <t>14008-26-101275M</t>
        </is>
      </c>
      <c r="B37" s="182" t="inlineStr">
        <is>
          <t>MPO67</t>
        </is>
      </c>
      <c r="C37" s="183" t="n">
        <v>49138.8</v>
      </c>
      <c r="D37" s="331">
        <f>C37/(C37+C38)</f>
        <v/>
      </c>
      <c r="E37" s="182" t="inlineStr">
        <is>
          <t>조운관세사무소</t>
        </is>
      </c>
      <c r="F37" s="185">
        <f>ROUND(253000*D37,0)</f>
        <v/>
      </c>
      <c r="G37" s="182" t="inlineStr">
        <is>
          <t>진로직스</t>
        </is>
      </c>
      <c r="H37" s="185">
        <f>ROUND(17883555*D37,0)</f>
        <v/>
      </c>
      <c r="I37" s="182" t="inlineStr">
        <is>
          <t>합배송</t>
        </is>
      </c>
      <c r="J37" s="182" t="inlineStr">
        <is>
          <t>2건 합산(롯데/CJ미래원)</t>
        </is>
      </c>
    </row>
    <row r="38" ht="15.75" customHeight="1">
      <c r="A38" s="182" t="n"/>
      <c r="B38" s="182" t="inlineStr">
        <is>
          <t>MPO68</t>
        </is>
      </c>
      <c r="C38" s="183" t="n">
        <v>11587.2</v>
      </c>
      <c r="D38" s="331">
        <f>C38/(C37+C38)</f>
        <v/>
      </c>
      <c r="E38" s="182" t="inlineStr">
        <is>
          <t>조운관세사무소</t>
        </is>
      </c>
      <c r="F38" s="185">
        <f>253000-F37</f>
        <v/>
      </c>
      <c r="G38" s="182" t="inlineStr">
        <is>
          <t>진로직스</t>
        </is>
      </c>
      <c r="H38" s="185">
        <f>17883555-H37</f>
        <v/>
      </c>
      <c r="I38" s="182" t="inlineStr">
        <is>
          <t>합배송</t>
        </is>
      </c>
      <c r="J38" s="182" t="n"/>
    </row>
    <row r="39" ht="15.75" customHeight="1">
      <c r="A39" s="139" t="inlineStr">
        <is>
          <t>14008-26-101317M</t>
        </is>
      </c>
      <c r="B39" s="139" t="inlineStr">
        <is>
          <t>APO001</t>
        </is>
      </c>
      <c r="C39" s="140" t="n">
        <v>12400</v>
      </c>
      <c r="D39" s="330">
        <f>C39/C39</f>
        <v/>
      </c>
      <c r="E39" s="139" t="inlineStr">
        <is>
          <t>조운관세사무소</t>
        </is>
      </c>
      <c r="F39" s="142" t="n">
        <v>43010</v>
      </c>
      <c r="G39" s="139" t="inlineStr">
        <is>
          <t>진로직스</t>
        </is>
      </c>
      <c r="H39" s="142" t="n">
        <v>692650</v>
      </c>
      <c r="I39" s="139" t="inlineStr">
        <is>
          <t>단독</t>
        </is>
      </c>
      <c r="J39" s="139" t="n"/>
    </row>
    <row r="40" ht="15.75" customHeight="1">
      <c r="A40" s="182" t="inlineStr">
        <is>
          <t>23176-26-472403M</t>
        </is>
      </c>
      <c r="B40" s="182" t="inlineStr">
        <is>
          <t>GPO483</t>
        </is>
      </c>
      <c r="C40" s="183" t="n">
        <v>14730</v>
      </c>
      <c r="D40" s="331">
        <f>C40/(C40+C41)</f>
        <v/>
      </c>
      <c r="E40" s="182" t="inlineStr">
        <is>
          <t>스타합동관세사무소</t>
        </is>
      </c>
      <c r="F40" s="185" t="n">
        <v>0</v>
      </c>
      <c r="G40" s="182" t="inlineStr">
        <is>
          <t>Fedex</t>
        </is>
      </c>
      <c r="H40" s="185">
        <f>ROUND(639610*D40,0)</f>
        <v/>
      </c>
      <c r="I40" s="182" t="inlineStr">
        <is>
          <t>합배송</t>
        </is>
      </c>
      <c r="J40" s="182" t="inlineStr">
        <is>
          <t>2건 합산 (GPO477 HDMI 3EA 포함, 통관 USD 15,870 / FedEx 7월 인보이스 AWB 577262342860)</t>
        </is>
      </c>
    </row>
    <row r="41" ht="15.75" customHeight="1">
      <c r="A41" s="182" t="n"/>
      <c r="B41" s="182" t="inlineStr">
        <is>
          <t>GPO477</t>
        </is>
      </c>
      <c r="C41" s="183" t="n">
        <v>1140</v>
      </c>
      <c r="D41" s="331">
        <f>C41/(C40+C41)</f>
        <v/>
      </c>
      <c r="E41" s="182" t="inlineStr">
        <is>
          <t>스타합동관세사무소</t>
        </is>
      </c>
      <c r="F41" s="185" t="n">
        <v>0</v>
      </c>
      <c r="G41" s="182" t="inlineStr">
        <is>
          <t>Fedex</t>
        </is>
      </c>
      <c r="H41" s="185">
        <f>639610-H40</f>
        <v/>
      </c>
      <c r="I41" s="182" t="inlineStr">
        <is>
          <t>합배송</t>
        </is>
      </c>
      <c r="J41" s="182" t="n"/>
    </row>
    <row r="42" ht="15.75" customHeight="1">
      <c r="A42" s="182" t="inlineStr">
        <is>
          <t>23176-26-606930M</t>
        </is>
      </c>
      <c r="B42" s="182" t="inlineStr">
        <is>
          <t>CPO703</t>
        </is>
      </c>
      <c r="C42" s="183" t="n">
        <v>5445</v>
      </c>
      <c r="D42" s="331">
        <f>C42/(C42+C43)</f>
        <v/>
      </c>
      <c r="E42" s="182" t="inlineStr">
        <is>
          <t>스타합동관세사무소</t>
        </is>
      </c>
      <c r="F42" s="185" t="n">
        <v>0</v>
      </c>
      <c r="G42" s="182" t="inlineStr">
        <is>
          <t>Fedex</t>
        </is>
      </c>
      <c r="H42" s="185">
        <f>ROUND(227310*D42,0)</f>
        <v/>
      </c>
      <c r="I42" s="182" t="inlineStr">
        <is>
          <t>합배송</t>
        </is>
      </c>
      <c r="J42" s="182" t="inlineStr">
        <is>
          <t>2건 합산 (FedEx 8월 인보이스 AWB 874032215773)</t>
        </is>
      </c>
    </row>
    <row r="43" ht="15.75" customHeight="1">
      <c r="A43" s="182" t="n"/>
      <c r="B43" s="182" t="inlineStr">
        <is>
          <t>CPO701</t>
        </is>
      </c>
      <c r="C43" s="183" t="n">
        <v>54</v>
      </c>
      <c r="D43" s="331">
        <f>C43/(C42+C43)</f>
        <v/>
      </c>
      <c r="E43" s="182" t="inlineStr">
        <is>
          <t>스타합동관세사무소</t>
        </is>
      </c>
      <c r="F43" s="185" t="n">
        <v>0</v>
      </c>
      <c r="G43" s="182" t="inlineStr">
        <is>
          <t>Fedex</t>
        </is>
      </c>
      <c r="H43" s="185">
        <f>227310-H42</f>
        <v/>
      </c>
      <c r="I43" s="182" t="inlineStr">
        <is>
          <t>합배송</t>
        </is>
      </c>
      <c r="J43" s="182" t="n"/>
    </row>
    <row r="44" ht="15.75" customHeight="1">
      <c r="A44" s="139" t="inlineStr">
        <is>
          <t>23176-26-605075M</t>
        </is>
      </c>
      <c r="B44" s="139" t="inlineStr">
        <is>
          <t>GPO488</t>
        </is>
      </c>
      <c r="C44" s="140" t="n">
        <v>180</v>
      </c>
      <c r="D44" s="330">
        <f>C44/C44</f>
        <v/>
      </c>
      <c r="E44" s="139" t="inlineStr">
        <is>
          <t>스타합동관세사무소</t>
        </is>
      </c>
      <c r="F44" s="142" t="n">
        <v>0</v>
      </c>
      <c r="G44" s="139" t="inlineStr">
        <is>
          <t>Fedex</t>
        </is>
      </c>
      <c r="H44" s="142" t="n">
        <v>54150</v>
      </c>
      <c r="I44" s="139" t="inlineStr">
        <is>
          <t>단독</t>
        </is>
      </c>
      <c r="J44" s="139" t="n"/>
    </row>
    <row r="45" ht="15.75" customHeight="1">
      <c r="A45" s="139" t="inlineStr">
        <is>
          <t>23176-26-618473M</t>
        </is>
      </c>
      <c r="B45" s="139" t="inlineStr">
        <is>
          <t>GPO493</t>
        </is>
      </c>
      <c r="C45" s="140" t="n">
        <v>4470</v>
      </c>
      <c r="D45" s="330">
        <f>C45/C45</f>
        <v/>
      </c>
      <c r="E45" s="139" t="inlineStr">
        <is>
          <t>스타합동관세사무소</t>
        </is>
      </c>
      <c r="F45" s="142" t="n">
        <v>0</v>
      </c>
      <c r="G45" s="139" t="inlineStr">
        <is>
          <t>Fedex</t>
        </is>
      </c>
      <c r="H45" s="142" t="n">
        <v>235570</v>
      </c>
      <c r="I45" s="139" t="inlineStr">
        <is>
          <t>단독</t>
        </is>
      </c>
      <c r="J45" s="139" t="n"/>
    </row>
    <row r="46" ht="15.75" customHeight="1">
      <c r="A46" s="139" t="inlineStr">
        <is>
          <t>14008-26-101364M</t>
        </is>
      </c>
      <c r="B46" s="139" t="inlineStr">
        <is>
          <t>GPO482</t>
        </is>
      </c>
      <c r="C46" s="140" t="n">
        <v>329510</v>
      </c>
      <c r="D46" s="330">
        <f>C46/(C46+C47)</f>
        <v/>
      </c>
      <c r="E46" s="139" t="inlineStr">
        <is>
          <t>조운관세사무소</t>
        </is>
      </c>
      <c r="F46" s="142">
        <f>ROUND(253000*D46,0)</f>
        <v/>
      </c>
      <c r="G46" s="139" t="inlineStr">
        <is>
          <t>훼밀리익스프레스</t>
        </is>
      </c>
      <c r="H46" s="142">
        <f>ROUND(3375678*D46,0)</f>
        <v/>
      </c>
      <c r="I46" s="139" t="inlineStr">
        <is>
          <t>합배송</t>
        </is>
      </c>
      <c r="J46" s="139" t="inlineStr">
        <is>
          <t>2건 합산 (조운 청구서: 통관 220,000 + 요건대행 33,000 / 포워더 3,375,678)</t>
        </is>
      </c>
    </row>
    <row r="47" ht="15.75" customHeight="1">
      <c r="A47" s="139" t="n"/>
      <c r="B47" s="139" t="inlineStr">
        <is>
          <t>GPO485</t>
        </is>
      </c>
      <c r="C47" s="140" t="n">
        <v>5600</v>
      </c>
      <c r="D47" s="330">
        <f>C47/(C46+C47)</f>
        <v/>
      </c>
      <c r="E47" s="139" t="inlineStr">
        <is>
          <t>조운관세사무소</t>
        </is>
      </c>
      <c r="F47" s="142">
        <f>253000-F46</f>
        <v/>
      </c>
      <c r="G47" s="139" t="inlineStr">
        <is>
          <t>훼밀리익스프레스</t>
        </is>
      </c>
      <c r="H47" s="142">
        <f>3375678-H46</f>
        <v/>
      </c>
      <c r="I47" s="139" t="inlineStr">
        <is>
          <t>합배송</t>
        </is>
      </c>
      <c r="J47" s="139" t="n"/>
    </row>
    <row r="48" ht="15.75" customHeight="1">
      <c r="A48" s="139" t="inlineStr">
        <is>
          <t>14008-26-101205M</t>
        </is>
      </c>
      <c r="B48" s="139" t="inlineStr">
        <is>
          <t>EPO18</t>
        </is>
      </c>
      <c r="C48" s="140" t="n">
        <v>4388.4</v>
      </c>
      <c r="D48" s="330">
        <f>C48/C48</f>
        <v/>
      </c>
      <c r="E48" s="139" t="inlineStr">
        <is>
          <t>조운관세사무소</t>
        </is>
      </c>
      <c r="F48" s="142" t="n">
        <v>33000</v>
      </c>
      <c r="G48" s="139" t="inlineStr">
        <is>
          <t>진로직스</t>
        </is>
      </c>
      <c r="H48" s="142" t="n">
        <v>1338545</v>
      </c>
      <c r="I48" s="139" t="inlineStr">
        <is>
          <t>단독</t>
        </is>
      </c>
      <c r="J48" s="139" t="inlineStr">
        <is>
          <t>EUR 결제 건</t>
        </is>
      </c>
    </row>
    <row r="49" ht="15.75" customHeight="1">
      <c r="A49" s="139" t="inlineStr">
        <is>
          <t>14008-26-101374M</t>
        </is>
      </c>
      <c r="B49" s="139" t="inlineStr">
        <is>
          <t>CPO705-1</t>
        </is>
      </c>
      <c r="C49" s="140" t="n">
        <v>280</v>
      </c>
      <c r="D49" s="330">
        <f>C49/C49</f>
        <v/>
      </c>
      <c r="E49" s="139" t="inlineStr">
        <is>
          <t>조운관세사무소</t>
        </is>
      </c>
      <c r="F49" s="142" t="n">
        <v>33000</v>
      </c>
      <c r="G49" s="139" t="inlineStr">
        <is>
          <t>진로직스</t>
        </is>
      </c>
      <c r="H49" s="142" t="n">
        <v>128190</v>
      </c>
      <c r="I49" s="139" t="inlineStr">
        <is>
          <t>단독</t>
        </is>
      </c>
      <c r="J49" s="139" t="inlineStr">
        <is>
          <t>CPO699 해상선적 동봉 (B/L PEWSE2607033A)</t>
        </is>
      </c>
    </row>
    <row r="50" ht="15.75" customHeight="1">
      <c r="A50" s="139" t="inlineStr">
        <is>
          <t>14008-26-101373M</t>
        </is>
      </c>
      <c r="B50" s="139" t="inlineStr">
        <is>
          <t>CPO699</t>
        </is>
      </c>
      <c r="C50" s="140" t="n">
        <v>294546</v>
      </c>
      <c r="D50" s="330">
        <f>C50/C50</f>
        <v/>
      </c>
      <c r="E50" s="139" t="inlineStr">
        <is>
          <t>조운관세사무소</t>
        </is>
      </c>
      <c r="F50" s="142" t="n">
        <v>289400</v>
      </c>
      <c r="G50" s="139" t="inlineStr">
        <is>
          <t>진로직스</t>
        </is>
      </c>
      <c r="H50" s="142" t="n">
        <v>2630835</v>
      </c>
      <c r="I50" s="139" t="inlineStr">
        <is>
          <t>단독</t>
        </is>
      </c>
      <c r="J50" s="139" t="inlineStr">
        <is>
          <t>B/L PEWSE2607033B (통관 220,000 + 요건대행 66,000 + KTR 3,400)</t>
        </is>
      </c>
    </row>
    <row r="51" ht="15.75" customHeight="1">
      <c r="A51" s="139" t="inlineStr">
        <is>
          <t>23176-26-633456M</t>
        </is>
      </c>
      <c r="B51" s="139" t="inlineStr">
        <is>
          <t>CPO705-2</t>
        </is>
      </c>
      <c r="C51" s="140" t="n">
        <v>270</v>
      </c>
      <c r="D51" s="330">
        <f>C51/C51</f>
        <v/>
      </c>
      <c r="E51" s="139" t="inlineStr">
        <is>
          <t>스타합동관세사무소</t>
        </is>
      </c>
      <c r="F51" s="142" t="n">
        <v>0</v>
      </c>
      <c r="G51" s="139" t="inlineStr">
        <is>
          <t>Fedex</t>
        </is>
      </c>
      <c r="H51" s="142" t="n">
        <v>134480</v>
      </c>
      <c r="I51" s="139" t="inlineStr">
        <is>
          <t>단독</t>
        </is>
      </c>
      <c r="J51" s="139" t="inlineStr">
        <is>
          <t>FedEx 8월 인보이스 AWB 874404521778</t>
        </is>
      </c>
    </row>
    <row r="52" ht="15.75" customHeight="1">
      <c r="A52" s="139" t="inlineStr">
        <is>
          <t>14008-26-101459M</t>
        </is>
      </c>
      <c r="B52" s="139" t="inlineStr">
        <is>
          <t>PI44133</t>
        </is>
      </c>
      <c r="C52" s="140" t="n">
        <v>22080</v>
      </c>
      <c r="D52" s="330">
        <f>C52/C52</f>
        <v/>
      </c>
      <c r="E52" s="139" t="inlineStr">
        <is>
          <t>조운관세사무소</t>
        </is>
      </c>
      <c r="F52" s="142" t="n">
        <v>121990</v>
      </c>
      <c r="G52" s="139" t="inlineStr">
        <is>
          <t>진로직스</t>
        </is>
      </c>
      <c r="H52" s="142" t="n">
        <v>19900907</v>
      </c>
      <c r="I52" s="139" t="inlineStr">
        <is>
          <t>단독</t>
        </is>
      </c>
      <c r="J52" s="139" t="inlineStr">
        <is>
          <t>EUR 결제 건 (Figueras 리클라이너 16EA, AWB KAE260416)</t>
        </is>
      </c>
    </row>
    <row r="53" ht="15.75" customHeight="1">
      <c r="A53" s="139" t="inlineStr">
        <is>
          <t>14008-26-101470M</t>
        </is>
      </c>
      <c r="B53" s="139" t="inlineStr">
        <is>
          <t>MLS20260814-01</t>
        </is>
      </c>
      <c r="C53" s="140" t="n">
        <v>2475</v>
      </c>
      <c r="D53" s="330">
        <f>C53/C53</f>
        <v/>
      </c>
      <c r="E53" s="139" t="inlineStr">
        <is>
          <t>조운관세사무소</t>
        </is>
      </c>
      <c r="F53" s="142" t="n">
        <v>154000</v>
      </c>
      <c r="G53" s="139" t="inlineStr">
        <is>
          <t>진로직스</t>
        </is>
      </c>
      <c r="H53" s="142" t="n">
        <v>604742</v>
      </c>
      <c r="I53" s="139" t="inlineStr">
        <is>
          <t>단독</t>
        </is>
      </c>
      <c r="J53" s="139" t="inlineStr">
        <is>
          <t>KC 인증용 샘플 (통관 33,000 + 요건대행 66,000 + 면제확인서 55,000)</t>
        </is>
      </c>
    </row>
    <row r="54" ht="15.75" customHeight="1">
      <c r="A54" s="139" t="inlineStr">
        <is>
          <t>14008-26-101496M</t>
        </is>
      </c>
      <c r="B54" s="139" t="inlineStr">
        <is>
          <t>MPO69</t>
        </is>
      </c>
      <c r="C54" s="140" t="n">
        <v>17529.8</v>
      </c>
      <c r="D54" s="330">
        <f>C54/C54</f>
        <v/>
      </c>
      <c r="E54" s="139" t="inlineStr">
        <is>
          <t>조운관세사무소</t>
        </is>
      </c>
      <c r="F54" s="142" t="n">
        <v>131780</v>
      </c>
      <c r="G54" s="139" t="inlineStr">
        <is>
          <t>진로직스</t>
        </is>
      </c>
      <c r="H54" s="142" t="n">
        <v>6395260</v>
      </c>
      <c r="I54" s="139" t="inlineStr">
        <is>
          <t>단독</t>
        </is>
      </c>
      <c r="J54" s="139" t="inlineStr">
        <is>
          <t>AWB SFF261084 (통관 65,780 + 요건대행 66,000)</t>
        </is>
      </c>
    </row>
    <row r="55" ht="15.75" customHeight="1">
      <c r="A55" s="332" t="inlineStr">
        <is>
          <t>14008-26-101497M</t>
        </is>
      </c>
      <c r="B55" s="332" t="inlineStr">
        <is>
          <t>GPO491</t>
        </is>
      </c>
      <c r="C55" s="333" t="n">
        <v>450950</v>
      </c>
      <c r="D55" s="334">
        <f>C55/C55</f>
        <v/>
      </c>
      <c r="E55" s="332" t="inlineStr">
        <is>
          <t>조운관세사무소</t>
        </is>
      </c>
      <c r="F55" s="252" t="n">
        <v>253000</v>
      </c>
      <c r="G55" s="332" t="inlineStr">
        <is>
          <t>진로직스</t>
        </is>
      </c>
      <c r="H55" s="252" t="n">
        <v>5255256</v>
      </c>
      <c r="I55" s="332" t="inlineStr">
        <is>
          <t>단독</t>
        </is>
      </c>
      <c r="J55" s="332" t="inlineStr">
        <is>
          <t>B/L PSZSE2609022, CGV 여의도 LED (통관 220,000 + 요건대행 33,000 / 포워더 5,255,256)</t>
        </is>
      </c>
    </row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M71" s="22" t="n"/>
    </row>
  </sheetData>
  <mergeCells count="2">
    <mergeCell ref="A1:J1"/>
    <mergeCell ref="A2:J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9"/>
  <sheetViews>
    <sheetView showGridLines="0" zoomScaleNormal="100" workbookViewId="0">
      <pane ySplit="2" topLeftCell="A3" activePane="bottomLeft" state="frozen"/>
      <selection activeCell="L48" sqref="L48"/>
      <selection pane="bottomLeft" activeCell="I36" sqref="I36"/>
    </sheetView>
  </sheetViews>
  <sheetFormatPr baseColWidth="10" defaultColWidth="8.83203125" defaultRowHeight="17"/>
  <cols>
    <col width="12.83203125" customWidth="1" style="234" min="1" max="1"/>
    <col width="12" customWidth="1" style="234" min="2" max="2"/>
    <col width="16" customWidth="1" style="234" min="3" max="3"/>
    <col width="24" customWidth="1" style="234" min="4" max="4"/>
    <col width="14" customWidth="1" style="234" min="5" max="5"/>
    <col width="11" customWidth="1" style="234" min="6" max="6"/>
    <col width="15" customWidth="1" style="234" min="7" max="9"/>
    <col width="16" customWidth="1" style="234" min="10" max="11"/>
    <col width="12" customWidth="1" style="234" min="12" max="12"/>
    <col width="8.83203125" customWidth="1" style="234" min="13" max="18"/>
    <col width="8.83203125" customWidth="1" style="234" min="19" max="16384"/>
  </cols>
  <sheetData>
    <row r="1" ht="24" customHeight="1">
      <c r="A1" s="238" t="inlineStr">
        <is>
          <t>① 송금건별 데이터 (송금확인서 기준)</t>
        </is>
      </c>
      <c r="B1" s="239" t="n"/>
      <c r="C1" s="239" t="n"/>
      <c r="D1" s="239" t="n"/>
      <c r="E1" s="239" t="n"/>
      <c r="F1" s="239" t="n"/>
      <c r="G1" s="239" t="n"/>
      <c r="H1" s="239" t="n"/>
      <c r="I1" s="239" t="n"/>
      <c r="J1" s="239" t="n"/>
      <c r="K1" s="239" t="n"/>
      <c r="L1" s="240" t="n"/>
      <c r="M1" s="316" t="n"/>
    </row>
    <row r="2" ht="28" customHeight="1">
      <c r="A2" s="1" t="inlineStr">
        <is>
          <t>No.</t>
        </is>
      </c>
      <c r="B2" s="1" t="inlineStr">
        <is>
          <t>송금일</t>
        </is>
      </c>
      <c r="C2" s="1" t="inlineStr">
        <is>
          <t>수취인</t>
        </is>
      </c>
      <c r="D2" s="1" t="inlineStr">
        <is>
          <t>PO참조</t>
        </is>
      </c>
      <c r="E2" s="1" t="inlineStr">
        <is>
          <t>USD금액</t>
        </is>
      </c>
      <c r="F2" s="1" t="inlineStr">
        <is>
          <t>적용환율</t>
        </is>
      </c>
      <c r="G2" s="1" t="inlineStr">
        <is>
          <t>중개수수료(USD)</t>
        </is>
      </c>
      <c r="H2" s="1" t="inlineStr">
        <is>
          <t>수수료(KRW)</t>
        </is>
      </c>
      <c r="I2" s="1" t="inlineStr">
        <is>
          <t>전신료(KRW)</t>
        </is>
      </c>
      <c r="J2" s="1" t="inlineStr">
        <is>
          <t>KRW총액(실제)</t>
        </is>
      </c>
      <c r="K2" s="1" t="inlineStr">
        <is>
          <t>KRW총액(검증)</t>
        </is>
      </c>
      <c r="L2" s="1" t="inlineStr">
        <is>
          <t>차이</t>
        </is>
      </c>
      <c r="M2" s="73" t="n"/>
    </row>
    <row r="3" ht="15.75" customHeight="1">
      <c r="A3" s="3" t="n">
        <v>1</v>
      </c>
      <c r="B3" s="3" t="inlineStr">
        <is>
          <t>2025.12.01</t>
        </is>
      </c>
      <c r="C3" s="4" t="inlineStr">
        <is>
          <t>Christie</t>
        </is>
      </c>
      <c r="D3" s="3" t="inlineStr">
        <is>
          <t>CPO668-3, CPO673</t>
        </is>
      </c>
      <c r="E3" s="17" t="n">
        <v>35563</v>
      </c>
      <c r="F3" s="6" t="n">
        <v>0</v>
      </c>
      <c r="G3" s="17" t="n">
        <v>20</v>
      </c>
      <c r="H3" s="7" t="n">
        <v>0</v>
      </c>
      <c r="I3" s="7" t="n">
        <v>0</v>
      </c>
      <c r="J3" s="7" t="n">
        <v>0</v>
      </c>
      <c r="K3" s="7">
        <f>ROUND((E3+G3)*F3+H3+I3,0)</f>
        <v/>
      </c>
      <c r="L3" s="18">
        <f>J3-K3</f>
        <v/>
      </c>
      <c r="M3" s="74" t="n"/>
    </row>
    <row r="4" ht="15.75" customHeight="1">
      <c r="A4" s="3" t="n">
        <v>2</v>
      </c>
      <c r="B4" s="3" t="inlineStr">
        <is>
          <t>2025.12.02</t>
        </is>
      </c>
      <c r="C4" s="4" t="inlineStr">
        <is>
          <t>GDC</t>
        </is>
      </c>
      <c r="D4" s="3" t="inlineStr">
        <is>
          <t>GPO-445, 446-1, 447, 448</t>
        </is>
      </c>
      <c r="E4" s="17" t="n">
        <v>55830</v>
      </c>
      <c r="F4" s="6" t="n">
        <v>0</v>
      </c>
      <c r="G4" s="17" t="n">
        <v>20</v>
      </c>
      <c r="H4" s="7" t="n">
        <v>0</v>
      </c>
      <c r="I4" s="7" t="n">
        <v>0</v>
      </c>
      <c r="J4" s="7" t="n">
        <v>0</v>
      </c>
      <c r="K4" s="7">
        <f>ROUND((E4+G4)*F4+H4+I4,0)</f>
        <v/>
      </c>
      <c r="L4" s="18">
        <f>J4-K4</f>
        <v/>
      </c>
      <c r="M4" s="74" t="n"/>
    </row>
    <row r="5" ht="15.75" customHeight="1">
      <c r="A5" s="3" t="n">
        <v>3</v>
      </c>
      <c r="B5" s="3" t="inlineStr">
        <is>
          <t>2025.12.02</t>
        </is>
      </c>
      <c r="C5" s="4" t="inlineStr">
        <is>
          <t>Christie</t>
        </is>
      </c>
      <c r="D5" s="3" t="inlineStr">
        <is>
          <t>CPO-669</t>
        </is>
      </c>
      <c r="E5" s="17" t="n">
        <v>7410</v>
      </c>
      <c r="F5" s="6" t="n">
        <v>0</v>
      </c>
      <c r="G5" s="17" t="n">
        <v>20</v>
      </c>
      <c r="H5" s="7" t="n">
        <v>0</v>
      </c>
      <c r="I5" s="7" t="n">
        <v>0</v>
      </c>
      <c r="J5" s="7" t="n">
        <v>0</v>
      </c>
      <c r="K5" s="7">
        <f>ROUND((E5+G5)*F5+H5+I5,0)</f>
        <v/>
      </c>
      <c r="L5" s="18">
        <f>J5-K5</f>
        <v/>
      </c>
      <c r="M5" s="74" t="n"/>
    </row>
    <row r="6" ht="15.75" customHeight="1">
      <c r="A6" s="3" t="n">
        <v>4</v>
      </c>
      <c r="B6" s="3" t="inlineStr">
        <is>
          <t>2025.12.09</t>
        </is>
      </c>
      <c r="C6" s="4" t="inlineStr">
        <is>
          <t>Christie</t>
        </is>
      </c>
      <c r="D6" s="3" t="inlineStr">
        <is>
          <t>CPO675,677,CPO-664-2</t>
        </is>
      </c>
      <c r="E6" s="17" t="n">
        <v>6024</v>
      </c>
      <c r="F6" s="6" t="n">
        <v>1473.3</v>
      </c>
      <c r="G6" s="17" t="n">
        <v>20</v>
      </c>
      <c r="H6" s="7" t="n">
        <v>10000</v>
      </c>
      <c r="I6" s="7" t="n">
        <v>8000</v>
      </c>
      <c r="J6" s="7" t="n">
        <v>8922625</v>
      </c>
      <c r="K6" s="7">
        <f>ROUND((E6+G6)*F6+H6+I6,0)</f>
        <v/>
      </c>
      <c r="L6" s="18">
        <f>J6-K6</f>
        <v/>
      </c>
      <c r="M6" s="74" t="n"/>
    </row>
    <row r="7" ht="15.75" customHeight="1">
      <c r="A7" s="3" t="n">
        <v>5</v>
      </c>
      <c r="B7" s="3" t="inlineStr">
        <is>
          <t>2025.12.09</t>
        </is>
      </c>
      <c r="C7" s="4" t="inlineStr">
        <is>
          <t>GDC</t>
        </is>
      </c>
      <c r="D7" s="3" t="inlineStr">
        <is>
          <t>GPO449,450,452,453,454</t>
        </is>
      </c>
      <c r="E7" s="17" t="n">
        <v>7862</v>
      </c>
      <c r="F7" s="6" t="n">
        <v>1473.2</v>
      </c>
      <c r="G7" s="17" t="n">
        <v>20</v>
      </c>
      <c r="H7" s="7" t="n">
        <v>10000</v>
      </c>
      <c r="I7" s="7" t="n">
        <v>8000</v>
      </c>
      <c r="J7" s="7" t="n">
        <v>11629762</v>
      </c>
      <c r="K7" s="7">
        <f>ROUND((E7+G7)*F7+H7+I7,0)</f>
        <v/>
      </c>
      <c r="L7" s="18">
        <f>J7-K7</f>
        <v/>
      </c>
      <c r="M7" s="74" t="n"/>
    </row>
    <row r="8" ht="15.75" customHeight="1">
      <c r="A8" s="3" t="n">
        <v>6</v>
      </c>
      <c r="B8" s="3" t="inlineStr">
        <is>
          <t>2025.12.16</t>
        </is>
      </c>
      <c r="C8" s="4" t="inlineStr">
        <is>
          <t>MAG</t>
        </is>
      </c>
      <c r="D8" s="3" t="inlineStr">
        <is>
          <t>MPO-65,64</t>
        </is>
      </c>
      <c r="E8" s="17" t="n">
        <v>15040</v>
      </c>
      <c r="F8" s="6" t="n">
        <v>1480</v>
      </c>
      <c r="G8" s="17" t="n">
        <v>20</v>
      </c>
      <c r="H8" s="7" t="n">
        <v>10000</v>
      </c>
      <c r="I8" s="7" t="n">
        <v>8000</v>
      </c>
      <c r="J8" s="7" t="n">
        <v>22306800</v>
      </c>
      <c r="K8" s="7">
        <f>ROUND((E8+G8)*F8+H8+I8,0)</f>
        <v/>
      </c>
      <c r="L8" s="18">
        <f>J8-K8</f>
        <v/>
      </c>
      <c r="M8" s="74" t="n"/>
    </row>
    <row r="9" ht="15.75" customHeight="1">
      <c r="A9" s="3" t="n">
        <v>7</v>
      </c>
      <c r="B9" s="3" t="inlineStr">
        <is>
          <t>2025.12.16</t>
        </is>
      </c>
      <c r="C9" s="4" t="inlineStr">
        <is>
          <t>Christie</t>
        </is>
      </c>
      <c r="D9" s="3" t="inlineStr">
        <is>
          <t>CPO-679,CPO-678-1</t>
        </is>
      </c>
      <c r="E9" s="17" t="n">
        <v>143557</v>
      </c>
      <c r="F9" s="6" t="n">
        <v>1479.7</v>
      </c>
      <c r="G9" s="17" t="n">
        <v>20</v>
      </c>
      <c r="H9" s="7" t="n">
        <v>12500</v>
      </c>
      <c r="I9" s="7" t="n">
        <v>8000</v>
      </c>
      <c r="J9" s="7" t="n">
        <v>212471386</v>
      </c>
      <c r="K9" s="7">
        <f>ROUND((E9+G9)*F9+H9+I9,0)</f>
        <v/>
      </c>
      <c r="L9" s="18">
        <f>J9-K9</f>
        <v/>
      </c>
      <c r="M9" s="74" t="n"/>
    </row>
    <row r="10" ht="15.75" customHeight="1">
      <c r="A10" s="3" t="n">
        <v>8</v>
      </c>
      <c r="B10" s="3" t="inlineStr">
        <is>
          <t>2025.12.29</t>
        </is>
      </c>
      <c r="C10" s="4" t="inlineStr">
        <is>
          <t>GDC</t>
        </is>
      </c>
      <c r="D10" s="3" t="inlineStr">
        <is>
          <t>GPO451,458,455,456,457</t>
        </is>
      </c>
      <c r="E10" s="17" t="n">
        <v>13860</v>
      </c>
      <c r="F10" s="6" t="n">
        <v>1439.1</v>
      </c>
      <c r="G10" s="17" t="n">
        <v>20</v>
      </c>
      <c r="H10" s="7" t="n">
        <v>10000</v>
      </c>
      <c r="I10" s="7" t="n">
        <v>8000</v>
      </c>
      <c r="J10" s="7" t="n">
        <v>18264679</v>
      </c>
      <c r="K10" s="7">
        <f>ROUND((E10+G10)*F10+H10+I10,0)</f>
        <v/>
      </c>
      <c r="L10" s="18">
        <f>J10-K10</f>
        <v/>
      </c>
      <c r="M10" s="74" t="n"/>
    </row>
    <row r="11" ht="15.75" customHeight="1">
      <c r="A11" s="3" t="n">
        <v>9</v>
      </c>
      <c r="B11" s="3" t="inlineStr">
        <is>
          <t>2025.12.30</t>
        </is>
      </c>
      <c r="C11" s="4" t="inlineStr">
        <is>
          <t>Christie</t>
        </is>
      </c>
      <c r="D11" s="3" t="inlineStr">
        <is>
          <t>CPO676</t>
        </is>
      </c>
      <c r="E11" s="17" t="n">
        <v>36060</v>
      </c>
      <c r="F11" s="6" t="n">
        <v>1442.7</v>
      </c>
      <c r="G11" s="17" t="n">
        <v>20</v>
      </c>
      <c r="H11" s="7" t="n">
        <v>12500</v>
      </c>
      <c r="I11" s="7" t="n">
        <v>8000</v>
      </c>
      <c r="J11" s="7" t="n">
        <v>52073116</v>
      </c>
      <c r="K11" s="7">
        <f>ROUND((E11+G11)*F11+H11+I11,0)</f>
        <v/>
      </c>
      <c r="L11" s="18">
        <f>J11-K11</f>
        <v/>
      </c>
      <c r="M11" s="74" t="n"/>
    </row>
    <row r="12" ht="15.75" customHeight="1">
      <c r="A12" s="3" t="n">
        <v>10</v>
      </c>
      <c r="B12" s="3" t="inlineStr">
        <is>
          <t>2026.01.13</t>
        </is>
      </c>
      <c r="C12" s="4" t="inlineStr">
        <is>
          <t>Christie</t>
        </is>
      </c>
      <c r="D12" s="3" t="inlineStr">
        <is>
          <t>CPO680</t>
        </is>
      </c>
      <c r="E12" s="17" t="n">
        <v>252</v>
      </c>
      <c r="F12" s="6" t="n">
        <v>1479</v>
      </c>
      <c r="G12" s="17" t="n">
        <v>20</v>
      </c>
      <c r="H12" s="7" t="n">
        <v>2500</v>
      </c>
      <c r="I12" s="7" t="n">
        <v>8000</v>
      </c>
      <c r="J12" s="7" t="n">
        <v>412788</v>
      </c>
      <c r="K12" s="7">
        <f>ROUND((E12+G12)*F12+H12+I12,0)</f>
        <v/>
      </c>
      <c r="L12" s="18">
        <f>J12-K12</f>
        <v/>
      </c>
      <c r="M12" s="74" t="n"/>
    </row>
    <row r="13" ht="15.75" customHeight="1">
      <c r="A13" s="3" t="n">
        <v>11</v>
      </c>
      <c r="B13" s="3" t="inlineStr">
        <is>
          <t>2026.01.21</t>
        </is>
      </c>
      <c r="C13" s="4" t="inlineStr">
        <is>
          <t>GDC</t>
        </is>
      </c>
      <c r="D13" s="3" t="inlineStr">
        <is>
          <t>GPO459,460,461</t>
        </is>
      </c>
      <c r="E13" s="17" t="n">
        <v>3700</v>
      </c>
      <c r="F13" s="6" t="n">
        <v>1475.7</v>
      </c>
      <c r="G13" s="17" t="n">
        <v>20</v>
      </c>
      <c r="H13" s="7" t="n">
        <v>7500</v>
      </c>
      <c r="I13" s="7" t="n">
        <v>8000</v>
      </c>
      <c r="J13" s="7" t="n">
        <v>5505104</v>
      </c>
      <c r="K13" s="7">
        <f>ROUND((E13+G13)*F13+H13+I13,0)</f>
        <v/>
      </c>
      <c r="L13" s="18">
        <f>J13-K13</f>
        <v/>
      </c>
      <c r="M13" s="74" t="n"/>
    </row>
    <row r="14" ht="15.75" customHeight="1">
      <c r="A14" s="3" t="n">
        <v>12</v>
      </c>
      <c r="B14" s="3" t="inlineStr">
        <is>
          <t>2026.01.21</t>
        </is>
      </c>
      <c r="C14" s="4" t="inlineStr">
        <is>
          <t>MAG</t>
        </is>
      </c>
      <c r="D14" s="3" t="inlineStr">
        <is>
          <t>MPO-66</t>
        </is>
      </c>
      <c r="E14" s="17" t="n">
        <v>9626.35</v>
      </c>
      <c r="F14" s="6" t="n">
        <v>1476</v>
      </c>
      <c r="G14" s="17" t="n">
        <v>20</v>
      </c>
      <c r="H14" s="7" t="n">
        <v>10000</v>
      </c>
      <c r="I14" s="7" t="n">
        <v>8000</v>
      </c>
      <c r="J14" s="7" t="n">
        <v>14256012</v>
      </c>
      <c r="K14" s="7">
        <f>ROUND((E14+G14)*F14+H14+I14,0)</f>
        <v/>
      </c>
      <c r="L14" s="18">
        <f>J14-K14</f>
        <v/>
      </c>
      <c r="M14" s="74" t="n"/>
    </row>
    <row r="15" ht="15.75" customHeight="1">
      <c r="A15" s="3" t="n">
        <v>13</v>
      </c>
      <c r="B15" s="3" t="inlineStr">
        <is>
          <t>2026.01.30</t>
        </is>
      </c>
      <c r="C15" s="4" t="inlineStr">
        <is>
          <t>Lemon</t>
        </is>
      </c>
      <c r="D15" s="3" t="inlineStr">
        <is>
          <t>LPO-001</t>
        </is>
      </c>
      <c r="E15" s="17" t="n">
        <v>5056.8</v>
      </c>
      <c r="F15" s="6" t="n">
        <v>1445.5</v>
      </c>
      <c r="G15" s="17" t="n">
        <v>20</v>
      </c>
      <c r="H15" s="7" t="n">
        <v>10000</v>
      </c>
      <c r="I15" s="7" t="n">
        <v>8000</v>
      </c>
      <c r="J15" s="7" t="n">
        <v>7356514</v>
      </c>
      <c r="K15" s="7">
        <f>ROUND((E15+G15)*F15+H15+I15,0)</f>
        <v/>
      </c>
      <c r="L15" s="18">
        <f>J15-K15</f>
        <v/>
      </c>
      <c r="M15" s="74" t="n"/>
    </row>
    <row r="16" ht="15.75" customHeight="1">
      <c r="A16" s="3" t="n">
        <v>14</v>
      </c>
      <c r="B16" s="3" t="inlineStr">
        <is>
          <t>2026.01.30</t>
        </is>
      </c>
      <c r="C16" s="4" t="inlineStr">
        <is>
          <t>Monoplex</t>
        </is>
      </c>
      <c r="D16" s="3" t="inlineStr">
        <is>
          <t>MONOPLEX20260126-01</t>
        </is>
      </c>
      <c r="E16" s="17" t="n">
        <v>25976</v>
      </c>
      <c r="F16" s="6" t="n">
        <v>1445.5</v>
      </c>
      <c r="G16" s="17" t="n">
        <v>20</v>
      </c>
      <c r="H16" s="7" t="n">
        <v>12500</v>
      </c>
      <c r="I16" s="7" t="n">
        <v>8000</v>
      </c>
      <c r="J16" s="7" t="n">
        <v>37597718</v>
      </c>
      <c r="K16" s="7">
        <f>ROUND((E16+G16)*F16+H16+I16,0)</f>
        <v/>
      </c>
      <c r="L16" s="18">
        <f>J16-K16</f>
        <v/>
      </c>
      <c r="M16" s="74" t="n"/>
    </row>
    <row r="17" ht="15.75" customHeight="1">
      <c r="A17" s="3" t="n">
        <v>15</v>
      </c>
      <c r="B17" s="3" t="inlineStr">
        <is>
          <t>2026.02.04</t>
        </is>
      </c>
      <c r="C17" s="4" t="inlineStr">
        <is>
          <t>Christie</t>
        </is>
      </c>
      <c r="D17" s="3" t="inlineStr">
        <is>
          <t>CPO-682,683</t>
        </is>
      </c>
      <c r="E17" s="17" t="n">
        <v>24794</v>
      </c>
      <c r="F17" s="6" t="n">
        <v>1454.7</v>
      </c>
      <c r="G17" s="17" t="n">
        <v>20</v>
      </c>
      <c r="H17" s="7" t="n">
        <v>12500</v>
      </c>
      <c r="I17" s="7" t="n">
        <v>8000</v>
      </c>
      <c r="J17" s="7" t="n">
        <v>36117425</v>
      </c>
      <c r="K17" s="7">
        <f>ROUND((E17+G17)*F17+H17+I17,0)</f>
        <v/>
      </c>
      <c r="L17" s="18">
        <f>J17-K17</f>
        <v/>
      </c>
      <c r="M17" s="74" t="n"/>
    </row>
    <row r="18" ht="15.75" customHeight="1">
      <c r="A18" s="3" t="n">
        <v>16</v>
      </c>
      <c r="B18" s="3" t="inlineStr">
        <is>
          <t>2026.02.04</t>
        </is>
      </c>
      <c r="C18" s="4" t="inlineStr">
        <is>
          <t>GDC</t>
        </is>
      </c>
      <c r="D18" s="3" t="inlineStr">
        <is>
          <t>GPO462,463,464</t>
        </is>
      </c>
      <c r="E18" s="17" t="n">
        <v>11599.57</v>
      </c>
      <c r="F18" s="6" t="n">
        <v>1453.6</v>
      </c>
      <c r="G18" s="17" t="n">
        <v>20</v>
      </c>
      <c r="H18" s="7" t="n">
        <v>10000</v>
      </c>
      <c r="I18" s="7" t="n">
        <v>8000</v>
      </c>
      <c r="J18" s="7" t="n">
        <v>16908206</v>
      </c>
      <c r="K18" s="7">
        <f>ROUND((E18+G18)*F18+H18+I18,0)</f>
        <v/>
      </c>
      <c r="L18" s="18">
        <f>J18-K18</f>
        <v/>
      </c>
      <c r="M18" s="74" t="n"/>
    </row>
    <row r="19" ht="15.75" customHeight="1">
      <c r="A19" s="3" t="n">
        <v>17</v>
      </c>
      <c r="B19" s="3" t="inlineStr">
        <is>
          <t>2026.02.11</t>
        </is>
      </c>
      <c r="C19" s="4" t="inlineStr">
        <is>
          <t>Christie</t>
        </is>
      </c>
      <c r="D19" s="3" t="inlineStr">
        <is>
          <t>CPO681</t>
        </is>
      </c>
      <c r="E19" s="17" t="n">
        <v>26358</v>
      </c>
      <c r="F19" s="6" t="n">
        <v>1460.7</v>
      </c>
      <c r="G19" s="17" t="n">
        <v>20</v>
      </c>
      <c r="H19" s="7" t="n">
        <v>12500</v>
      </c>
      <c r="I19" s="7" t="n">
        <v>8000</v>
      </c>
      <c r="J19" s="7" t="n">
        <v>38550844</v>
      </c>
      <c r="K19" s="7">
        <f>ROUND((E19+G19)*F19+H19+I19,0)</f>
        <v/>
      </c>
      <c r="L19" s="18">
        <f>J19-K19</f>
        <v/>
      </c>
      <c r="M19" s="74" t="n"/>
    </row>
    <row r="20" ht="15.75" customHeight="1">
      <c r="A20" s="3" t="n">
        <v>18</v>
      </c>
      <c r="B20" s="3" t="inlineStr">
        <is>
          <t>2026.02.19</t>
        </is>
      </c>
      <c r="C20" s="4" t="inlineStr">
        <is>
          <t>Christie</t>
        </is>
      </c>
      <c r="D20" s="3" t="inlineStr">
        <is>
          <t>CPO686,CPO689</t>
        </is>
      </c>
      <c r="E20" s="17" t="n">
        <v>17538</v>
      </c>
      <c r="F20" s="6" t="n">
        <v>1451.7</v>
      </c>
      <c r="G20" s="17" t="n">
        <v>20</v>
      </c>
      <c r="H20" s="7" t="n">
        <v>10000</v>
      </c>
      <c r="I20" s="7" t="n">
        <v>8000</v>
      </c>
      <c r="J20" s="7" t="n">
        <v>25506948</v>
      </c>
      <c r="K20" s="7">
        <f>ROUND((E20+G20)*F20+H20+I20,0)</f>
        <v/>
      </c>
      <c r="L20" s="18">
        <f>J20-K20</f>
        <v/>
      </c>
      <c r="M20" s="74" t="n"/>
    </row>
    <row r="21" ht="15.75" customHeight="1">
      <c r="A21" s="3" t="n">
        <v>19</v>
      </c>
      <c r="B21" s="3" t="inlineStr">
        <is>
          <t>2026.02.27</t>
        </is>
      </c>
      <c r="C21" s="4" t="inlineStr">
        <is>
          <t>Christie</t>
        </is>
      </c>
      <c r="D21" s="3" t="inlineStr">
        <is>
          <t>CPO685,667</t>
        </is>
      </c>
      <c r="E21" s="17" t="n">
        <v>142189</v>
      </c>
      <c r="F21" s="6" t="n">
        <v>1441.6</v>
      </c>
      <c r="G21" s="17" t="n">
        <v>20</v>
      </c>
      <c r="H21" s="7" t="n">
        <v>12500</v>
      </c>
      <c r="I21" s="7" t="n">
        <v>8000</v>
      </c>
      <c r="J21" s="7" t="n">
        <v>205028994</v>
      </c>
      <c r="K21" s="7">
        <f>ROUND((E21+G21)*F21+H21+I21,0)</f>
        <v/>
      </c>
      <c r="L21" s="18">
        <f>J21-K21</f>
        <v/>
      </c>
      <c r="M21" s="74" t="n"/>
    </row>
    <row r="22" ht="15.75" customHeight="1">
      <c r="A22" s="3" t="n">
        <v>20</v>
      </c>
      <c r="B22" s="3" t="inlineStr">
        <is>
          <t>2026.03.06</t>
        </is>
      </c>
      <c r="C22" s="4" t="inlineStr">
        <is>
          <t>Christie</t>
        </is>
      </c>
      <c r="D22" s="3" t="inlineStr">
        <is>
          <t>CPO678-2</t>
        </is>
      </c>
      <c r="E22" s="17" t="n">
        <v>137850</v>
      </c>
      <c r="F22" s="6" t="n">
        <v>1477.6</v>
      </c>
      <c r="G22" s="17" t="n">
        <v>20</v>
      </c>
      <c r="H22" s="7" t="n">
        <v>12500</v>
      </c>
      <c r="I22" s="7" t="n">
        <v>8000</v>
      </c>
      <c r="J22" s="7" t="n">
        <v>203737212</v>
      </c>
      <c r="K22" s="7">
        <f>ROUND((E22+G22)*F22+H22+I22,0)</f>
        <v/>
      </c>
      <c r="L22" s="18">
        <f>J22-K22</f>
        <v/>
      </c>
      <c r="M22" s="74" t="n"/>
    </row>
    <row r="23" ht="15.75" customHeight="1">
      <c r="A23" s="3" t="n">
        <v>21</v>
      </c>
      <c r="B23" s="3" t="inlineStr">
        <is>
          <t>2026.04.01</t>
        </is>
      </c>
      <c r="C23" s="4" t="inlineStr">
        <is>
          <t>Christie</t>
        </is>
      </c>
      <c r="D23" s="3" t="inlineStr">
        <is>
          <t>CPO690,691</t>
        </is>
      </c>
      <c r="E23" s="17" t="n">
        <v>34354</v>
      </c>
      <c r="F23" s="6" t="n">
        <v>1505.7</v>
      </c>
      <c r="G23" s="17" t="n">
        <v>20</v>
      </c>
      <c r="H23" s="7" t="n">
        <v>12500</v>
      </c>
      <c r="I23" s="7" t="n">
        <v>8000</v>
      </c>
      <c r="J23" s="7" t="n">
        <v>51777431</v>
      </c>
      <c r="K23" s="7">
        <f>ROUND((E23+G23)*F23+H23+I23,0)</f>
        <v/>
      </c>
      <c r="L23" s="18">
        <f>J23-K23</f>
        <v/>
      </c>
      <c r="M23" s="74" t="n"/>
    </row>
    <row r="24" ht="15.75" customHeight="1">
      <c r="A24" s="3" t="n">
        <v>22</v>
      </c>
      <c r="B24" s="3" t="inlineStr">
        <is>
          <t>2026.04.01</t>
        </is>
      </c>
      <c r="C24" s="4" t="inlineStr">
        <is>
          <t>GDC</t>
        </is>
      </c>
      <c r="D24" s="3" t="inlineStr">
        <is>
          <t>GPO469,467,470,471</t>
        </is>
      </c>
      <c r="E24" s="17" t="n">
        <v>6553.05</v>
      </c>
      <c r="F24" s="6" t="n">
        <v>1506.4</v>
      </c>
      <c r="G24" s="17" t="n">
        <v>20</v>
      </c>
      <c r="H24" s="7" t="n">
        <v>10000</v>
      </c>
      <c r="I24" s="7" t="n">
        <v>8000</v>
      </c>
      <c r="J24" s="7" t="n">
        <v>9919642</v>
      </c>
      <c r="K24" s="7">
        <f>ROUND((E24+G24)*F24+H24+I24,0)</f>
        <v/>
      </c>
      <c r="L24" s="18">
        <f>J24-K24</f>
        <v/>
      </c>
      <c r="M24" s="74" t="n"/>
    </row>
    <row r="25" ht="15.75" customHeight="1">
      <c r="A25" s="3" t="n">
        <v>23</v>
      </c>
      <c r="B25" s="3" t="inlineStr">
        <is>
          <t>2026.04.14</t>
        </is>
      </c>
      <c r="C25" s="4" t="inlineStr">
        <is>
          <t>GDC</t>
        </is>
      </c>
      <c r="D25" s="3" t="inlineStr">
        <is>
          <t>GPO468-1, 472, 468-2</t>
        </is>
      </c>
      <c r="E25" s="17" t="n">
        <v>57650</v>
      </c>
      <c r="F25" s="6" t="n">
        <v>1481.9</v>
      </c>
      <c r="G25" s="17" t="n">
        <v>20</v>
      </c>
      <c r="H25" s="7" t="n">
        <v>12500</v>
      </c>
      <c r="I25" s="7" t="n">
        <v>8000</v>
      </c>
      <c r="J25" s="7" t="n">
        <v>85481673</v>
      </c>
      <c r="K25" s="7">
        <f>ROUND((E25+G25)*F25+H25+I25,0)</f>
        <v/>
      </c>
      <c r="L25" s="18">
        <f>J25-K25</f>
        <v/>
      </c>
      <c r="M25" s="74" t="n"/>
    </row>
    <row r="26" ht="15.75" customHeight="1">
      <c r="A26" s="60" t="n">
        <v>24</v>
      </c>
      <c r="B26" s="60" t="inlineStr">
        <is>
          <t>2026.04.21</t>
        </is>
      </c>
      <c r="C26" s="61" t="inlineStr">
        <is>
          <t>Ferco</t>
        </is>
      </c>
      <c r="D26" s="60" t="inlineStr">
        <is>
          <t>MONOPLEX20260126-01</t>
        </is>
      </c>
      <c r="E26" s="62" t="n">
        <v>25976</v>
      </c>
      <c r="F26" s="106" t="n">
        <v>1473.3</v>
      </c>
      <c r="G26" s="62" t="n">
        <v>20</v>
      </c>
      <c r="H26" s="63" t="n">
        <v>12500</v>
      </c>
      <c r="I26" s="63" t="n">
        <v>8000</v>
      </c>
      <c r="J26" s="63" t="n">
        <v>38320406</v>
      </c>
      <c r="K26" s="63">
        <f>ROUND((E26+G26)*F26+H26+I26,0)</f>
        <v/>
      </c>
      <c r="L26" s="64">
        <f>J26-K26</f>
        <v/>
      </c>
      <c r="M26" s="74" t="n"/>
    </row>
    <row r="27" ht="15.75" customHeight="1">
      <c r="A27" s="60" t="n">
        <v>25</v>
      </c>
      <c r="B27" s="60" t="inlineStr">
        <is>
          <t>2026.04.22</t>
        </is>
      </c>
      <c r="C27" s="61" t="inlineStr">
        <is>
          <t>Christie</t>
        </is>
      </c>
      <c r="D27" s="60" t="inlineStr">
        <is>
          <t>CPO692(692-1, 692-2)</t>
        </is>
      </c>
      <c r="E27" s="62" t="n">
        <v>297580</v>
      </c>
      <c r="F27" s="106" t="n">
        <v>1482.8</v>
      </c>
      <c r="G27" s="62" t="n">
        <v>20</v>
      </c>
      <c r="H27" s="63" t="n">
        <v>12500</v>
      </c>
      <c r="I27" s="63" t="n">
        <v>8000</v>
      </c>
      <c r="J27" s="63" t="n">
        <v>441301780</v>
      </c>
      <c r="K27" s="63">
        <f>ROUND((E27+G27)*F27+H27+I27,0)</f>
        <v/>
      </c>
      <c r="L27" s="64">
        <f>J27-K27</f>
        <v/>
      </c>
      <c r="M27" s="74" t="n"/>
    </row>
    <row r="28" ht="15.75" customHeight="1">
      <c r="A28" s="60" t="n">
        <v>26</v>
      </c>
      <c r="B28" s="60" t="inlineStr">
        <is>
          <t>2026.04.22</t>
        </is>
      </c>
      <c r="C28" s="61" t="inlineStr">
        <is>
          <t>MAICO Italia (EUR)</t>
        </is>
      </c>
      <c r="D28" s="60" t="inlineStr">
        <is>
          <t>EPO18</t>
        </is>
      </c>
      <c r="E28" s="62" t="n">
        <v>4388.4</v>
      </c>
      <c r="F28" s="106" t="n">
        <v>1741.08</v>
      </c>
      <c r="G28" s="62" t="n">
        <v>25</v>
      </c>
      <c r="H28" s="63" t="n">
        <v>10000</v>
      </c>
      <c r="I28" s="63" t="n">
        <v>8000</v>
      </c>
      <c r="J28" s="63" t="n">
        <v>7702082</v>
      </c>
      <c r="K28" s="63">
        <f>ROUND((E28+G28)*F28+H28+I28,0)</f>
        <v/>
      </c>
      <c r="L28" s="64">
        <f>J28-K28</f>
        <v/>
      </c>
      <c r="M28" s="74" t="n"/>
    </row>
    <row r="29" ht="15.75" customHeight="1">
      <c r="A29" s="75" t="n">
        <v>27</v>
      </c>
      <c r="B29" s="75" t="inlineStr">
        <is>
          <t>2026.05.04</t>
        </is>
      </c>
      <c r="C29" s="76" t="inlineStr">
        <is>
          <t>Christie</t>
        </is>
      </c>
      <c r="D29" s="75" t="inlineStr">
        <is>
          <t>CPO694, CPO695-1, CPO695-2</t>
        </is>
      </c>
      <c r="E29" s="77" t="n">
        <v>21439</v>
      </c>
      <c r="F29" s="107" t="n">
        <v>1474.9</v>
      </c>
      <c r="G29" s="77" t="n">
        <v>20</v>
      </c>
      <c r="H29" s="78" t="n">
        <v>12500</v>
      </c>
      <c r="I29" s="78" t="n">
        <v>8000</v>
      </c>
      <c r="J29" s="78" t="n">
        <v>31670379</v>
      </c>
      <c r="K29" s="78">
        <f>ROUND((E29+G29)*F29+H29+I29,0)</f>
        <v/>
      </c>
      <c r="L29" s="79">
        <f>J29-K29</f>
        <v/>
      </c>
      <c r="M29" s="73" t="n"/>
    </row>
    <row r="30" ht="15.75" customHeight="1">
      <c r="A30" s="75" t="n">
        <v>28</v>
      </c>
      <c r="B30" s="75" t="inlineStr">
        <is>
          <t>2026.05.04</t>
        </is>
      </c>
      <c r="C30" s="76" t="inlineStr">
        <is>
          <t>Integ Process Group</t>
        </is>
      </c>
      <c r="D30" s="75" t="inlineStr">
        <is>
          <t>IPO016 (JNR-410)</t>
        </is>
      </c>
      <c r="E30" s="77" t="n">
        <v>6800</v>
      </c>
      <c r="F30" s="107" t="n">
        <v>1475.2</v>
      </c>
      <c r="G30" s="77" t="n">
        <v>20</v>
      </c>
      <c r="H30" s="78" t="n">
        <v>10000</v>
      </c>
      <c r="I30" s="78" t="n">
        <v>8000</v>
      </c>
      <c r="J30" s="78" t="n">
        <v>10078864</v>
      </c>
      <c r="K30" s="78">
        <f>ROUND((E30+G30)*F30+H30+I30,0)</f>
        <v/>
      </c>
      <c r="L30" s="79">
        <f>J30-K30</f>
        <v/>
      </c>
      <c r="M30" s="73" t="n"/>
    </row>
    <row r="31" ht="15.75" customHeight="1">
      <c r="A31" s="75" t="n">
        <v>29</v>
      </c>
      <c r="B31" s="75" t="inlineStr">
        <is>
          <t>2026.05.12</t>
        </is>
      </c>
      <c r="C31" s="76" t="inlineStr">
        <is>
          <t>Ferco</t>
        </is>
      </c>
      <c r="D31" s="75" t="inlineStr">
        <is>
          <t>PI44133-1</t>
        </is>
      </c>
      <c r="E31" s="77" t="n">
        <v>4416</v>
      </c>
      <c r="F31" s="107" t="n">
        <v>1755.24</v>
      </c>
      <c r="G31" s="77" t="n">
        <v>25</v>
      </c>
      <c r="H31" s="78" t="n">
        <v>10000</v>
      </c>
      <c r="I31" s="78" t="n">
        <v>8000</v>
      </c>
      <c r="J31" s="78" t="n">
        <v>7813020</v>
      </c>
      <c r="K31" s="78">
        <f>ROUND((E31+G31)*F31+H31+I31,0)</f>
        <v/>
      </c>
      <c r="L31" s="79">
        <f>J31-K31</f>
        <v/>
      </c>
    </row>
    <row r="32" ht="15.75" customHeight="1">
      <c r="A32" s="75" t="n">
        <v>30</v>
      </c>
      <c r="B32" s="75" t="inlineStr">
        <is>
          <t>2026.05.19</t>
        </is>
      </c>
      <c r="C32" s="76" t="inlineStr">
        <is>
          <t>GDC</t>
        </is>
      </c>
      <c r="D32" s="75" t="inlineStr">
        <is>
          <t>GPO478</t>
        </is>
      </c>
      <c r="E32" s="77" t="n">
        <v>180</v>
      </c>
      <c r="F32" s="107" t="n">
        <v>1518.9</v>
      </c>
      <c r="G32" s="77" t="n">
        <v>20</v>
      </c>
      <c r="H32" s="78" t="n">
        <v>2500</v>
      </c>
      <c r="I32" s="78" t="n">
        <v>8000</v>
      </c>
      <c r="J32" s="78" t="n">
        <v>314280</v>
      </c>
      <c r="K32" s="78">
        <f>ROUND((E32+G32)*F32+H32+I32,0)</f>
        <v/>
      </c>
      <c r="L32" s="79">
        <f>J32-K32</f>
        <v/>
      </c>
    </row>
    <row r="33" ht="15.75" customHeight="1">
      <c r="A33" s="75" t="n">
        <v>31</v>
      </c>
      <c r="B33" s="75" t="inlineStr">
        <is>
          <t>2026.05.20</t>
        </is>
      </c>
      <c r="C33" s="76" t="inlineStr">
        <is>
          <t>Christie</t>
        </is>
      </c>
      <c r="D33" s="75" t="inlineStr">
        <is>
          <t>CPO698</t>
        </is>
      </c>
      <c r="E33" s="77" t="n">
        <v>4290</v>
      </c>
      <c r="F33" s="107" t="n">
        <v>1510.6</v>
      </c>
      <c r="G33" s="77" t="n">
        <v>20</v>
      </c>
      <c r="H33" s="78" t="n">
        <v>7500</v>
      </c>
      <c r="I33" s="78" t="n">
        <v>8000</v>
      </c>
      <c r="J33" s="78" t="n">
        <v>6526186</v>
      </c>
      <c r="K33" s="78">
        <f>ROUND((E33+G33)*F33+H33+I33,0)</f>
        <v/>
      </c>
      <c r="L33" s="79">
        <f>J33-K33</f>
        <v/>
      </c>
    </row>
    <row r="34" ht="15.75" customHeight="1">
      <c r="A34" s="75" t="n">
        <v>32</v>
      </c>
      <c r="B34" s="75" t="inlineStr">
        <is>
          <t>2026.05.29</t>
        </is>
      </c>
      <c r="C34" s="76" t="inlineStr">
        <is>
          <t>GDC</t>
        </is>
      </c>
      <c r="D34" s="75" t="inlineStr">
        <is>
          <t>GPO480, GPO479, GPO473-1</t>
        </is>
      </c>
      <c r="E34" s="77" t="n">
        <v>99140</v>
      </c>
      <c r="F34" s="107" t="n">
        <v>1502.8</v>
      </c>
      <c r="G34" s="77" t="n">
        <v>20</v>
      </c>
      <c r="H34" s="78" t="n">
        <v>12500</v>
      </c>
      <c r="I34" s="78" t="n">
        <v>8000</v>
      </c>
      <c r="J34" s="78" t="n">
        <v>149038148</v>
      </c>
      <c r="K34" s="78">
        <f>ROUND((E34+G34)*F34+H34+I34,0)</f>
        <v/>
      </c>
      <c r="L34" s="79">
        <f>J34-K34</f>
        <v/>
      </c>
    </row>
    <row r="35" ht="15.75" customHeight="1">
      <c r="A35" s="75" t="n">
        <v>33</v>
      </c>
      <c r="B35" s="75" t="inlineStr">
        <is>
          <t>2026.05.29</t>
        </is>
      </c>
      <c r="C35" s="76" t="inlineStr">
        <is>
          <t>Christie</t>
        </is>
      </c>
      <c r="D35" s="75" t="inlineStr">
        <is>
          <t>CPO697, CPO696-1, CPO696-2</t>
        </is>
      </c>
      <c r="E35" s="77" t="n">
        <v>101638</v>
      </c>
      <c r="F35" s="107" t="n">
        <v>1502.7</v>
      </c>
      <c r="G35" s="77" t="n">
        <v>20</v>
      </c>
      <c r="H35" s="78" t="n">
        <v>12500</v>
      </c>
      <c r="I35" s="78" t="n">
        <v>8000</v>
      </c>
      <c r="J35" s="78" t="n">
        <v>152781976</v>
      </c>
      <c r="K35" s="78">
        <f>ROUND((E35+G35)*F35+H35+I35,0)</f>
        <v/>
      </c>
      <c r="L35" s="79">
        <f>J35-K35</f>
        <v/>
      </c>
    </row>
    <row r="36" ht="15.75" customHeight="1">
      <c r="A36" s="132" t="n">
        <v>34</v>
      </c>
      <c r="B36" s="132" t="inlineStr">
        <is>
          <t>2026.06.10</t>
        </is>
      </c>
      <c r="C36" s="133" t="inlineStr">
        <is>
          <t>GDC</t>
        </is>
      </c>
      <c r="D36" s="132" t="inlineStr">
        <is>
          <t>GPO481, GPO473-2, GPO473-3</t>
        </is>
      </c>
      <c r="E36" s="134" t="n">
        <v>119060</v>
      </c>
      <c r="F36" s="135" t="n">
        <v>1525.3</v>
      </c>
      <c r="G36" s="134" t="n">
        <v>20</v>
      </c>
      <c r="H36" s="136" t="n">
        <v>12500</v>
      </c>
      <c r="I36" s="136" t="n">
        <v>8000</v>
      </c>
      <c r="J36" s="136" t="n">
        <v>181653224</v>
      </c>
      <c r="K36" s="136">
        <f>ROUND((E36+G36)*F36+H36+I36,0)</f>
        <v/>
      </c>
      <c r="L36" s="137">
        <f>J36-K36</f>
        <v/>
      </c>
    </row>
    <row r="37" ht="15.75" customHeight="1">
      <c r="A37" s="132" t="n">
        <v>35</v>
      </c>
      <c r="B37" s="132" t="inlineStr">
        <is>
          <t>2026.06.17</t>
        </is>
      </c>
      <c r="C37" s="133" t="inlineStr">
        <is>
          <t>Christie</t>
        </is>
      </c>
      <c r="D37" s="132" t="inlineStr">
        <is>
          <t>CPO696-3</t>
        </is>
      </c>
      <c r="E37" s="134" t="n">
        <v>351274</v>
      </c>
      <c r="F37" s="135" t="n">
        <v>1518</v>
      </c>
      <c r="G37" s="134" t="n">
        <v>20</v>
      </c>
      <c r="H37" s="136" t="n">
        <v>12500</v>
      </c>
      <c r="I37" s="136" t="n">
        <v>8000</v>
      </c>
      <c r="J37" s="136" t="n">
        <v>533284792</v>
      </c>
      <c r="K37" s="136">
        <f>ROUND((E37+G37)*F37+H37+I37,0)</f>
        <v/>
      </c>
      <c r="L37" s="137">
        <f>J37-K37</f>
        <v/>
      </c>
    </row>
    <row r="38" ht="15.75" customHeight="1">
      <c r="A38" s="132" t="n">
        <v>36</v>
      </c>
      <c r="B38" s="132" t="inlineStr">
        <is>
          <t>2026.06.17</t>
        </is>
      </c>
      <c r="C38" s="133" t="inlineStr">
        <is>
          <t>Appotronics</t>
        </is>
      </c>
      <c r="D38" s="132" t="inlineStr">
        <is>
          <t>APO001 (S20-C2220-BEAB)</t>
        </is>
      </c>
      <c r="E38" s="134" t="n">
        <v>12400</v>
      </c>
      <c r="F38" s="135" t="n">
        <v>1517.1</v>
      </c>
      <c r="G38" s="134" t="n">
        <v>20</v>
      </c>
      <c r="H38" s="136" t="n">
        <v>10000</v>
      </c>
      <c r="I38" s="136" t="n">
        <v>8000</v>
      </c>
      <c r="J38" s="136" t="n">
        <v>18860382</v>
      </c>
      <c r="K38" s="136">
        <f>ROUND((E38+G38)*F38+H38+I38,0)</f>
        <v/>
      </c>
      <c r="L38" s="137">
        <f>J38-K38</f>
        <v/>
      </c>
    </row>
    <row r="39" ht="15.75" customHeight="1">
      <c r="A39" s="132" t="n">
        <v>37</v>
      </c>
      <c r="B39" s="132" t="inlineStr">
        <is>
          <t>2026.06.17</t>
        </is>
      </c>
      <c r="C39" s="133" t="inlineStr">
        <is>
          <t>MMK Europe</t>
        </is>
      </c>
      <c r="D39" s="132" t="inlineStr">
        <is>
          <t>MPO67, MPO68</t>
        </is>
      </c>
      <c r="E39" s="134" t="n">
        <v>60726</v>
      </c>
      <c r="F39" s="135" t="n">
        <v>1517.3</v>
      </c>
      <c r="G39" s="134" t="n">
        <v>20</v>
      </c>
      <c r="H39" s="136" t="n">
        <v>12500</v>
      </c>
      <c r="I39" s="136" t="n">
        <v>8000</v>
      </c>
      <c r="J39" s="136" t="n">
        <v>92190405</v>
      </c>
      <c r="K39" s="136">
        <f>ROUND((E39+G39)*F39+H39+I39,0)</f>
        <v/>
      </c>
      <c r="L39" s="137">
        <f>J39-K39</f>
        <v/>
      </c>
    </row>
    <row r="40" ht="15.75" customHeight="1">
      <c r="A40" s="132" t="n">
        <v>38</v>
      </c>
      <c r="B40" s="132" t="inlineStr">
        <is>
          <t>2026.06.17</t>
        </is>
      </c>
      <c r="C40" s="133" t="inlineStr">
        <is>
          <t>GDC</t>
        </is>
      </c>
      <c r="D40" s="132" t="inlineStr">
        <is>
          <t>GPO475, SR-1000수리</t>
        </is>
      </c>
      <c r="E40" s="134" t="n">
        <v>2040</v>
      </c>
      <c r="F40" s="135" t="n">
        <v>1516.8</v>
      </c>
      <c r="G40" s="134" t="n">
        <v>20</v>
      </c>
      <c r="H40" s="136" t="n">
        <v>7500</v>
      </c>
      <c r="I40" s="136" t="n">
        <v>8000</v>
      </c>
      <c r="J40" s="136" t="n">
        <v>3140108</v>
      </c>
      <c r="K40" s="136">
        <f>ROUND((E40+G40)*F40+H40+I40,0)</f>
        <v/>
      </c>
      <c r="L40" s="137">
        <f>J40-K40</f>
        <v/>
      </c>
    </row>
    <row r="41" ht="15.75" customHeight="1">
      <c r="A41" s="132" t="n">
        <v>39</v>
      </c>
      <c r="B41" s="132" t="inlineStr">
        <is>
          <t>2026.07.14</t>
        </is>
      </c>
      <c r="C41" s="133" t="inlineStr">
        <is>
          <t>Ferco (Figueras, EUR)</t>
        </is>
      </c>
      <c r="D41" s="132" t="inlineStr">
        <is>
          <t>PI44133-2</t>
        </is>
      </c>
      <c r="E41" s="134" t="n">
        <v>13248</v>
      </c>
      <c r="F41" s="135" t="n">
        <v>1701.72</v>
      </c>
      <c r="G41" s="134" t="n">
        <v>25</v>
      </c>
      <c r="H41" s="136" t="n">
        <v>10000</v>
      </c>
      <c r="I41" s="136" t="n">
        <v>8000</v>
      </c>
      <c r="J41" s="136" t="n">
        <v>22604929</v>
      </c>
      <c r="K41" s="136">
        <f>ROUND((E41+G41)*F41+H41+I41,0)</f>
        <v/>
      </c>
      <c r="L41" s="137">
        <f>J41-K41</f>
        <v/>
      </c>
    </row>
    <row r="42" ht="15.75" customHeight="1">
      <c r="A42" s="132" t="n">
        <v>40</v>
      </c>
      <c r="B42" s="132" t="inlineStr">
        <is>
          <t>2026.08.04</t>
        </is>
      </c>
      <c r="C42" s="133" t="inlineStr">
        <is>
          <t>GDC</t>
        </is>
      </c>
      <c r="D42" s="132" t="inlineStr">
        <is>
          <t>GPO488</t>
        </is>
      </c>
      <c r="E42" s="134" t="n">
        <v>180</v>
      </c>
      <c r="F42" s="135" t="n">
        <v>1432.9</v>
      </c>
      <c r="G42" s="134" t="n">
        <v>20</v>
      </c>
      <c r="H42" s="136" t="n">
        <v>2500</v>
      </c>
      <c r="I42" s="136" t="n">
        <v>8000</v>
      </c>
      <c r="J42" s="136" t="n">
        <v>297080</v>
      </c>
      <c r="K42" s="136">
        <f>ROUND((E42+G42)*F42+H42+I42,0)</f>
        <v/>
      </c>
      <c r="L42" s="137">
        <f>J42-K42</f>
        <v/>
      </c>
    </row>
    <row r="43" ht="15.75" customHeight="1">
      <c r="A43" s="132" t="n">
        <v>41</v>
      </c>
      <c r="B43" s="132" t="inlineStr">
        <is>
          <t>2026.08.07</t>
        </is>
      </c>
      <c r="C43" s="133" t="inlineStr">
        <is>
          <t>Christie</t>
        </is>
      </c>
      <c r="D43" s="132" t="inlineStr">
        <is>
          <t>CPO700, CPO702</t>
        </is>
      </c>
      <c r="E43" s="134" t="n">
        <v>33829</v>
      </c>
      <c r="F43" s="135" t="n">
        <v>1429.8</v>
      </c>
      <c r="G43" s="134" t="n">
        <v>20</v>
      </c>
      <c r="H43" s="136" t="n">
        <v>12500</v>
      </c>
      <c r="I43" s="136" t="n">
        <v>8000</v>
      </c>
      <c r="J43" s="136" t="n">
        <v>48417800</v>
      </c>
      <c r="K43" s="136">
        <f>ROUND((E43+G43)*F43+H43+I43,0)</f>
        <v/>
      </c>
      <c r="L43" s="137">
        <f>J43-K43</f>
        <v/>
      </c>
    </row>
    <row r="44" ht="15.75" customHeight="1">
      <c r="A44" s="132" t="n">
        <v>42</v>
      </c>
      <c r="B44" s="132" t="inlineStr">
        <is>
          <t>2026.08.11</t>
        </is>
      </c>
      <c r="C44" s="133" t="inlineStr">
        <is>
          <t>GDC</t>
        </is>
      </c>
      <c r="D44" s="132" t="inlineStr">
        <is>
          <t>GPO493</t>
        </is>
      </c>
      <c r="E44" s="134" t="n">
        <v>4470</v>
      </c>
      <c r="F44" s="135" t="n">
        <v>1419.3</v>
      </c>
      <c r="G44" s="134" t="n">
        <v>20</v>
      </c>
      <c r="H44" s="136" t="n">
        <v>7500</v>
      </c>
      <c r="I44" s="136" t="n">
        <v>8000</v>
      </c>
      <c r="J44" s="136" t="n">
        <v>6388157</v>
      </c>
      <c r="K44" s="136">
        <f>ROUND((E44+G44)*F44+H44+I44,0)</f>
        <v/>
      </c>
      <c r="L44" s="137">
        <f>J44-K44</f>
        <v/>
      </c>
    </row>
    <row r="45" ht="15.75" customHeight="1">
      <c r="A45" s="132" t="n">
        <v>43</v>
      </c>
      <c r="B45" s="132" t="inlineStr">
        <is>
          <t>2026.08.14</t>
        </is>
      </c>
      <c r="C45" s="133" t="inlineStr">
        <is>
          <t>MLS (Shenzhen Mulinsen)</t>
        </is>
      </c>
      <c r="D45" s="132" t="inlineStr">
        <is>
          <t>MLS20260814-01</t>
        </is>
      </c>
      <c r="E45" s="134" t="n">
        <v>2475</v>
      </c>
      <c r="F45" s="135" t="n">
        <v>1423.1</v>
      </c>
      <c r="G45" s="134" t="n">
        <v>20</v>
      </c>
      <c r="H45" s="136" t="n">
        <v>7500</v>
      </c>
      <c r="I45" s="136" t="n">
        <v>8000</v>
      </c>
      <c r="J45" s="136" t="n">
        <v>3566134</v>
      </c>
      <c r="K45" s="136">
        <f>ROUND((E45+G45)*F45+H45+I45,0)</f>
        <v/>
      </c>
      <c r="L45" s="137">
        <f>J45-K45</f>
        <v/>
      </c>
      <c r="M45" s="74" t="n"/>
    </row>
    <row r="46" ht="15.75" customHeight="1">
      <c r="A46" s="132" t="n">
        <v>44</v>
      </c>
      <c r="B46" s="132" t="inlineStr">
        <is>
          <t>2026.08.18</t>
        </is>
      </c>
      <c r="C46" s="133" t="inlineStr">
        <is>
          <t>Christie</t>
        </is>
      </c>
      <c r="D46" s="132" t="inlineStr">
        <is>
          <t>CPO701-1, CPO705</t>
        </is>
      </c>
      <c r="E46" s="134" t="n">
        <v>604</v>
      </c>
      <c r="F46" s="135" t="n">
        <v>1417.1</v>
      </c>
      <c r="G46" s="134" t="n">
        <v>20</v>
      </c>
      <c r="H46" s="136" t="n">
        <v>5000</v>
      </c>
      <c r="I46" s="136" t="n">
        <v>8000</v>
      </c>
      <c r="J46" s="136" t="n">
        <v>897270</v>
      </c>
      <c r="K46" s="136">
        <f>ROUND((E46+G46)*F46+H46+I46,0)</f>
        <v/>
      </c>
      <c r="L46" s="137">
        <f>J46-K46</f>
        <v/>
      </c>
      <c r="M46" s="74" t="n"/>
    </row>
    <row r="47" ht="15.75" customHeight="1">
      <c r="A47" s="132" t="n">
        <v>45</v>
      </c>
      <c r="B47" s="132" t="inlineStr">
        <is>
          <t>2026.08.18</t>
        </is>
      </c>
      <c r="C47" s="133" t="inlineStr">
        <is>
          <t>GDC</t>
        </is>
      </c>
      <c r="D47" s="132" t="inlineStr">
        <is>
          <t>GPO477</t>
        </is>
      </c>
      <c r="E47" s="134" t="n">
        <v>1140</v>
      </c>
      <c r="F47" s="135" t="n">
        <v>1415.6</v>
      </c>
      <c r="G47" s="134" t="n">
        <v>20</v>
      </c>
      <c r="H47" s="136" t="n">
        <v>5000</v>
      </c>
      <c r="I47" s="136" t="n">
        <v>8000</v>
      </c>
      <c r="J47" s="136" t="n">
        <v>1655096</v>
      </c>
      <c r="K47" s="136">
        <f>ROUND((E47+G47)*F47+H47+I47,0)</f>
        <v/>
      </c>
      <c r="L47" s="137">
        <f>J47-K47</f>
        <v/>
      </c>
      <c r="M47" s="74" t="n"/>
    </row>
    <row r="48" ht="15.75" customHeight="1">
      <c r="A48" s="132" t="n">
        <v>46</v>
      </c>
      <c r="B48" s="132" t="inlineStr">
        <is>
          <t>2026.08.31</t>
        </is>
      </c>
      <c r="C48" s="133" t="inlineStr">
        <is>
          <t>Christie</t>
        </is>
      </c>
      <c r="D48" s="132" t="inlineStr">
        <is>
          <t>CPO704, CPO703</t>
        </is>
      </c>
      <c r="E48" s="134" t="n">
        <v>34703</v>
      </c>
      <c r="F48" s="135" t="n">
        <v>1374.2</v>
      </c>
      <c r="G48" s="134" t="n">
        <v>20</v>
      </c>
      <c r="H48" s="136" t="n">
        <v>12500</v>
      </c>
      <c r="I48" s="136" t="n">
        <v>8000</v>
      </c>
      <c r="J48" s="136" t="n">
        <v>47736846</v>
      </c>
      <c r="K48" s="136">
        <f>ROUND((E48+G48)*F48+H48+I48,0)</f>
        <v/>
      </c>
      <c r="L48" s="137">
        <f>J48-K48</f>
        <v/>
      </c>
      <c r="M48" s="74" t="n"/>
    </row>
    <row r="49" ht="15.75" customHeight="1">
      <c r="A49" s="132" t="n">
        <v>47</v>
      </c>
      <c r="B49" s="132" t="inlineStr">
        <is>
          <t>2026.08.31</t>
        </is>
      </c>
      <c r="C49" s="133" t="inlineStr">
        <is>
          <t>MMK Europe</t>
        </is>
      </c>
      <c r="D49" s="132" t="inlineStr">
        <is>
          <t>MPO69</t>
        </is>
      </c>
      <c r="E49" s="134" t="n">
        <v>17529.8</v>
      </c>
      <c r="F49" s="135" t="n">
        <v>1374.5</v>
      </c>
      <c r="G49" s="134" t="n">
        <v>20</v>
      </c>
      <c r="H49" s="136" t="n">
        <v>10000</v>
      </c>
      <c r="I49" s="136" t="n">
        <v>8000</v>
      </c>
      <c r="J49" s="136" t="n">
        <v>24140200</v>
      </c>
      <c r="K49" s="136">
        <f>ROUND((E49+G49)*F49+H49+I49,0)</f>
        <v/>
      </c>
      <c r="L49" s="137">
        <f>J49-K49</f>
        <v/>
      </c>
      <c r="M49" s="74" t="n"/>
    </row>
    <row r="50" ht="15.75" customHeight="1">
      <c r="A50" s="152" t="n">
        <v>48</v>
      </c>
      <c r="B50" s="152" t="inlineStr">
        <is>
          <t>2026.09.15</t>
        </is>
      </c>
      <c r="C50" s="245" t="inlineStr">
        <is>
          <t>Espedeo</t>
        </is>
      </c>
      <c r="D50" s="152" t="inlineStr">
        <is>
          <t>GPO482, GPO485</t>
        </is>
      </c>
      <c r="E50" s="335" t="n">
        <v>335110</v>
      </c>
      <c r="F50" s="151" t="n">
        <v>1363.2</v>
      </c>
      <c r="G50" s="335" t="n">
        <v>20</v>
      </c>
      <c r="H50" s="159" t="n">
        <v>12500</v>
      </c>
      <c r="I50" s="159" t="n">
        <v>8000</v>
      </c>
      <c r="J50" s="159" t="n">
        <v>456869716</v>
      </c>
      <c r="K50" s="159">
        <f>ROUND((E50+G50)*F50+H50+I50,0)</f>
        <v/>
      </c>
      <c r="L50" s="336">
        <f>J50-K50</f>
        <v/>
      </c>
      <c r="M50" s="127" t="n"/>
    </row>
    <row r="51" ht="15.75" customHeight="1">
      <c r="A51" s="152" t="n">
        <v>49</v>
      </c>
      <c r="B51" s="152" t="inlineStr">
        <is>
          <t>2026.09.15</t>
        </is>
      </c>
      <c r="C51" s="245" t="inlineStr">
        <is>
          <t>Christie</t>
        </is>
      </c>
      <c r="D51" s="152" t="inlineStr">
        <is>
          <t>CPO699, CPO696-4, CPO696-5 (696-4/5 분할 1차 각 50,000)</t>
        </is>
      </c>
      <c r="E51" s="335" t="n">
        <v>394546</v>
      </c>
      <c r="F51" s="151" t="n">
        <v>1364.1</v>
      </c>
      <c r="G51" s="335" t="n">
        <v>20</v>
      </c>
      <c r="H51" s="159" t="n">
        <v>12500</v>
      </c>
      <c r="I51" s="159" t="n">
        <v>8000</v>
      </c>
      <c r="J51" s="159" t="n">
        <v>538247980</v>
      </c>
      <c r="K51" s="159">
        <f>ROUND((E51+G51)*F51+H51+I51,0)</f>
        <v/>
      </c>
      <c r="L51" s="336">
        <f>J51-K51</f>
        <v/>
      </c>
      <c r="M51" s="127" t="n"/>
    </row>
    <row r="52" ht="15.75" customHeight="1">
      <c r="A52" s="152" t="n">
        <v>50</v>
      </c>
      <c r="B52" s="152" t="inlineStr">
        <is>
          <t>2026.09.15</t>
        </is>
      </c>
      <c r="C52" s="245" t="inlineStr">
        <is>
          <t>MLS (Shenzhen Mulinsen)</t>
        </is>
      </c>
      <c r="D52" s="152" t="inlineStr">
        <is>
          <t>MPO001 (선금 50%)</t>
        </is>
      </c>
      <c r="E52" s="335" t="n">
        <v>51928.58</v>
      </c>
      <c r="F52" s="151" t="n">
        <v>1364.2</v>
      </c>
      <c r="G52" s="335" t="n">
        <v>20</v>
      </c>
      <c r="H52" s="159" t="n">
        <v>12500</v>
      </c>
      <c r="I52" s="159" t="n">
        <v>8000</v>
      </c>
      <c r="J52" s="159" t="n">
        <v>70888752</v>
      </c>
      <c r="K52" s="159">
        <f>ROUND((E52+G52)*F52+H52+I52,0)</f>
        <v/>
      </c>
      <c r="L52" s="336">
        <f>J52-K52</f>
        <v/>
      </c>
      <c r="M52" s="127" t="n"/>
    </row>
    <row r="53" ht="15.75" customHeight="1">
      <c r="A53" s="337" t="inlineStr">
        <is>
          <t>② PO별 비용 안분 내역</t>
        </is>
      </c>
      <c r="B53" s="219" t="n"/>
      <c r="C53" s="219" t="n"/>
      <c r="D53" s="219" t="n"/>
      <c r="E53" s="219" t="n"/>
      <c r="F53" s="219" t="n"/>
      <c r="G53" s="219" t="n"/>
      <c r="H53" s="219" t="n"/>
      <c r="I53" s="219" t="n"/>
      <c r="J53" s="219" t="n"/>
      <c r="K53" s="219" t="n"/>
      <c r="L53" s="220" t="n"/>
      <c r="M53" s="127" t="n"/>
    </row>
    <row r="54" ht="15.75" customHeight="1">
      <c r="A54" s="337" t="inlineStr">
        <is>
          <t>PO No.</t>
        </is>
      </c>
      <c r="B54" s="337" t="inlineStr">
        <is>
          <t>송금일</t>
        </is>
      </c>
      <c r="C54" s="337" t="inlineStr">
        <is>
          <t>업체</t>
        </is>
      </c>
      <c r="D54" s="337" t="inlineStr">
        <is>
          <t>PO USD</t>
        </is>
      </c>
      <c r="E54" s="337" t="inlineStr">
        <is>
          <t>그룹총USD</t>
        </is>
      </c>
      <c r="F54" s="337" t="inlineStr">
        <is>
          <t>배부비율</t>
        </is>
      </c>
      <c r="G54" s="337" t="inlineStr">
        <is>
          <t>적용환율</t>
        </is>
      </c>
      <c r="H54" s="337" t="inlineStr">
        <is>
          <t>원화환산액</t>
        </is>
      </c>
      <c r="I54" s="337" t="inlineStr">
        <is>
          <t>중개수수료안분</t>
        </is>
      </c>
      <c r="J54" s="337" t="inlineStr">
        <is>
          <t>수수료안분</t>
        </is>
      </c>
      <c r="K54" s="337" t="inlineStr">
        <is>
          <t>전신료안분</t>
        </is>
      </c>
      <c r="L54" s="337" t="inlineStr">
        <is>
          <t>합계</t>
        </is>
      </c>
      <c r="M54" s="127" t="n"/>
    </row>
    <row r="55" ht="15.75" customHeight="1">
      <c r="A55" s="152" t="inlineStr">
        <is>
          <t>CPO678-1</t>
        </is>
      </c>
      <c r="B55" s="152" t="inlineStr">
        <is>
          <t>2025.12.16</t>
        </is>
      </c>
      <c r="C55" s="245" t="inlineStr">
        <is>
          <t>Christie</t>
        </is>
      </c>
      <c r="D55" s="335" t="n">
        <v>139083</v>
      </c>
      <c r="E55" s="335" t="n">
        <v>143557</v>
      </c>
      <c r="F55" s="338">
        <f>IFERROR(D55/E55,0)</f>
        <v/>
      </c>
      <c r="G55" s="335" t="n">
        <v>1479.7</v>
      </c>
      <c r="H55" s="159" t="n">
        <v>205801115</v>
      </c>
      <c r="I55" s="159" t="n">
        <v>28672</v>
      </c>
      <c r="J55" s="159" t="n">
        <v>12110</v>
      </c>
      <c r="K55" s="159" t="n">
        <v>7751</v>
      </c>
      <c r="L55" s="336">
        <f>H55+I55+J55+K55</f>
        <v/>
      </c>
      <c r="M55" s="127" t="n"/>
    </row>
    <row r="56" ht="15.75" customHeight="1">
      <c r="A56" s="152" t="inlineStr">
        <is>
          <t>CPO679</t>
        </is>
      </c>
      <c r="B56" s="152" t="inlineStr">
        <is>
          <t>2025.12.16</t>
        </is>
      </c>
      <c r="C56" s="245" t="inlineStr">
        <is>
          <t>Christie</t>
        </is>
      </c>
      <c r="D56" s="335" t="n">
        <v>4474</v>
      </c>
      <c r="E56" s="335" t="n">
        <v>143557</v>
      </c>
      <c r="F56" s="338">
        <f>IFERROR(D56/E56,0)</f>
        <v/>
      </c>
      <c r="G56" s="335" t="n">
        <v>1479.7</v>
      </c>
      <c r="H56" s="159" t="n">
        <v>6620178</v>
      </c>
      <c r="I56" s="159" t="n">
        <v>922</v>
      </c>
      <c r="J56" s="159" t="n">
        <v>390</v>
      </c>
      <c r="K56" s="159" t="n">
        <v>249</v>
      </c>
      <c r="L56" s="336">
        <f>H56+I56+J56+K56</f>
        <v/>
      </c>
      <c r="M56" s="127" t="n"/>
    </row>
    <row r="57" ht="15.75" customHeight="1">
      <c r="A57" s="152" t="inlineStr">
        <is>
          <t>MPO65</t>
        </is>
      </c>
      <c r="B57" s="152" t="inlineStr">
        <is>
          <t>2025.12.16</t>
        </is>
      </c>
      <c r="C57" s="245" t="inlineStr">
        <is>
          <t>MAG</t>
        </is>
      </c>
      <c r="D57" s="335" t="n">
        <v>4936</v>
      </c>
      <c r="E57" s="335" t="n">
        <v>15040</v>
      </c>
      <c r="F57" s="338">
        <f>IFERROR(D57/E57,0)</f>
        <v/>
      </c>
      <c r="G57" s="335" t="n">
        <v>1480</v>
      </c>
      <c r="H57" s="159" t="n">
        <v>7305280</v>
      </c>
      <c r="I57" s="159" t="n">
        <v>9714</v>
      </c>
      <c r="J57" s="159" t="n">
        <v>3282</v>
      </c>
      <c r="K57" s="159" t="n">
        <v>2626</v>
      </c>
      <c r="L57" s="336">
        <f>H57+I57+J57+K57</f>
        <v/>
      </c>
      <c r="M57" s="127" t="n"/>
    </row>
    <row r="58" ht="15.75" customHeight="1">
      <c r="A58" s="152" t="inlineStr">
        <is>
          <t>GPO451</t>
        </is>
      </c>
      <c r="B58" s="152" t="inlineStr">
        <is>
          <t>2025.12.29</t>
        </is>
      </c>
      <c r="C58" s="245" t="inlineStr">
        <is>
          <t>GDC</t>
        </is>
      </c>
      <c r="D58" s="335" t="n">
        <v>9060</v>
      </c>
      <c r="E58" s="335" t="n">
        <v>13860</v>
      </c>
      <c r="F58" s="338">
        <f>IFERROR(D58/E58,0)</f>
        <v/>
      </c>
      <c r="G58" s="335" t="n">
        <v>1439.1</v>
      </c>
      <c r="H58" s="159" t="n">
        <v>13038246</v>
      </c>
      <c r="I58" s="159" t="n">
        <v>18814</v>
      </c>
      <c r="J58" s="159" t="n">
        <v>6537</v>
      </c>
      <c r="K58" s="159" t="n">
        <v>5229</v>
      </c>
      <c r="L58" s="336">
        <f>H58+I58+J58+K58</f>
        <v/>
      </c>
      <c r="M58" s="127" t="n"/>
    </row>
    <row r="59" ht="15.75" customHeight="1">
      <c r="A59" s="152" t="inlineStr">
        <is>
          <t>GPO458</t>
        </is>
      </c>
      <c r="B59" s="152" t="inlineStr">
        <is>
          <t>2025.12.29</t>
        </is>
      </c>
      <c r="C59" s="245" t="inlineStr">
        <is>
          <t>GDC</t>
        </is>
      </c>
      <c r="D59" s="335" t="n">
        <v>350</v>
      </c>
      <c r="E59" s="335" t="n">
        <v>13860</v>
      </c>
      <c r="F59" s="338">
        <f>IFERROR(D59/E59,0)</f>
        <v/>
      </c>
      <c r="G59" s="335" t="n">
        <v>1439.1</v>
      </c>
      <c r="H59" s="159" t="n">
        <v>503685</v>
      </c>
      <c r="I59" s="159" t="n">
        <v>727</v>
      </c>
      <c r="J59" s="159" t="n">
        <v>253</v>
      </c>
      <c r="K59" s="159" t="n">
        <v>202</v>
      </c>
      <c r="L59" s="336">
        <f>H59+I59+J59+K59</f>
        <v/>
      </c>
      <c r="M59" s="127" t="n"/>
    </row>
    <row r="60" ht="15.75" customHeight="1">
      <c r="A60" s="152" t="inlineStr">
        <is>
          <t>CPO680</t>
        </is>
      </c>
      <c r="B60" s="152" t="inlineStr">
        <is>
          <t>2026.01.13</t>
        </is>
      </c>
      <c r="C60" s="245" t="inlineStr">
        <is>
          <t>Christie</t>
        </is>
      </c>
      <c r="D60" s="335" t="n">
        <v>252</v>
      </c>
      <c r="E60" s="335" t="n">
        <v>252</v>
      </c>
      <c r="F60" s="338">
        <f>IFERROR(D60/E60,0)</f>
        <v/>
      </c>
      <c r="G60" s="335" t="n">
        <v>1479</v>
      </c>
      <c r="H60" s="159" t="n">
        <v>372708</v>
      </c>
      <c r="I60" s="159" t="n">
        <v>29580</v>
      </c>
      <c r="J60" s="159" t="n">
        <v>2500</v>
      </c>
      <c r="K60" s="159" t="n">
        <v>8000</v>
      </c>
      <c r="L60" s="336">
        <f>H60+I60+J60+K60</f>
        <v/>
      </c>
      <c r="M60" s="127" t="n"/>
    </row>
    <row r="61" ht="15.75" customHeight="1">
      <c r="A61" s="152" t="inlineStr">
        <is>
          <t>GPO459</t>
        </is>
      </c>
      <c r="B61" s="152" t="inlineStr">
        <is>
          <t>2026.01.21</t>
        </is>
      </c>
      <c r="C61" s="245" t="inlineStr">
        <is>
          <t>GDC</t>
        </is>
      </c>
      <c r="D61" s="335" t="n">
        <v>450</v>
      </c>
      <c r="E61" s="335" t="n">
        <v>3700</v>
      </c>
      <c r="F61" s="338">
        <f>IFERROR(D61/E61,0)</f>
        <v/>
      </c>
      <c r="G61" s="335" t="n">
        <v>1475.7</v>
      </c>
      <c r="H61" s="159" t="n">
        <v>664065</v>
      </c>
      <c r="I61" s="159" t="n">
        <v>3590</v>
      </c>
      <c r="J61" s="159" t="n">
        <v>912</v>
      </c>
      <c r="K61" s="159" t="n">
        <v>973</v>
      </c>
      <c r="L61" s="336">
        <f>H61+I61+J61+K61</f>
        <v/>
      </c>
      <c r="M61" s="127" t="n"/>
    </row>
    <row r="62" ht="15.75" customHeight="1">
      <c r="A62" s="152" t="inlineStr">
        <is>
          <t>GPO460</t>
        </is>
      </c>
      <c r="B62" s="152" t="inlineStr">
        <is>
          <t>2026.01.21</t>
        </is>
      </c>
      <c r="C62" s="245" t="inlineStr">
        <is>
          <t>GDC</t>
        </is>
      </c>
      <c r="D62" s="335" t="n">
        <v>2710</v>
      </c>
      <c r="E62" s="335" t="n">
        <v>3700</v>
      </c>
      <c r="F62" s="338">
        <f>IFERROR(D62/E62,0)</f>
        <v/>
      </c>
      <c r="G62" s="335" t="n">
        <v>1475.7</v>
      </c>
      <c r="H62" s="159" t="n">
        <v>3999147</v>
      </c>
      <c r="I62" s="159" t="n">
        <v>21617</v>
      </c>
      <c r="J62" s="159" t="n">
        <v>5493</v>
      </c>
      <c r="K62" s="159" t="n">
        <v>5859</v>
      </c>
      <c r="L62" s="336">
        <f>H62+I62+J62+K62</f>
        <v/>
      </c>
      <c r="M62" s="127" t="n"/>
    </row>
    <row r="63" ht="15.75" customHeight="1">
      <c r="A63" s="152" t="inlineStr">
        <is>
          <t>GPO461</t>
        </is>
      </c>
      <c r="B63" s="152" t="inlineStr">
        <is>
          <t>2026.01.21</t>
        </is>
      </c>
      <c r="C63" s="245" t="inlineStr">
        <is>
          <t>GDC</t>
        </is>
      </c>
      <c r="D63" s="335" t="n">
        <v>540</v>
      </c>
      <c r="E63" s="335" t="n">
        <v>3700</v>
      </c>
      <c r="F63" s="338">
        <f>IFERROR(D63/E63,0)</f>
        <v/>
      </c>
      <c r="G63" s="335" t="n">
        <v>1475.7</v>
      </c>
      <c r="H63" s="159" t="n">
        <v>796878</v>
      </c>
      <c r="I63" s="159" t="n">
        <v>4307</v>
      </c>
      <c r="J63" s="159" t="n">
        <v>1095</v>
      </c>
      <c r="K63" s="159" t="n">
        <v>1168</v>
      </c>
      <c r="L63" s="336">
        <f>H63+I63+J63+K63</f>
        <v/>
      </c>
      <c r="M63" s="127" t="n"/>
    </row>
    <row r="64" ht="15.75" customHeight="1">
      <c r="A64" s="152" t="inlineStr">
        <is>
          <t>MPO66</t>
        </is>
      </c>
      <c r="B64" s="152" t="inlineStr">
        <is>
          <t>2026.01.21</t>
        </is>
      </c>
      <c r="C64" s="245" t="inlineStr">
        <is>
          <t>MAG</t>
        </is>
      </c>
      <c r="D64" s="335" t="n">
        <v>9626.35</v>
      </c>
      <c r="E64" s="335" t="n">
        <v>9626.35</v>
      </c>
      <c r="F64" s="338">
        <f>IFERROR(D64/E64,0)</f>
        <v/>
      </c>
      <c r="G64" s="335" t="n">
        <v>1476</v>
      </c>
      <c r="H64" s="159" t="n">
        <v>14208493</v>
      </c>
      <c r="I64" s="159" t="n">
        <v>29520</v>
      </c>
      <c r="J64" s="159" t="n">
        <v>10000</v>
      </c>
      <c r="K64" s="159" t="n">
        <v>8000</v>
      </c>
      <c r="L64" s="336">
        <f>H64+I64+J64+K64</f>
        <v/>
      </c>
      <c r="M64" s="127" t="n"/>
    </row>
    <row r="65" ht="15.75" customHeight="1">
      <c r="A65" s="152" t="inlineStr">
        <is>
          <t>LPO001</t>
        </is>
      </c>
      <c r="B65" s="152" t="inlineStr">
        <is>
          <t>2026.01.30</t>
        </is>
      </c>
      <c r="C65" s="245" t="inlineStr">
        <is>
          <t>Lemon</t>
        </is>
      </c>
      <c r="D65" s="335" t="n">
        <v>5056.8</v>
      </c>
      <c r="E65" s="335" t="n">
        <v>5056.8</v>
      </c>
      <c r="F65" s="338">
        <f>IFERROR(D65/E65,0)</f>
        <v/>
      </c>
      <c r="G65" s="335" t="n">
        <v>1445.5</v>
      </c>
      <c r="H65" s="159" t="n">
        <v>7309604</v>
      </c>
      <c r="I65" s="159" t="n">
        <v>28910</v>
      </c>
      <c r="J65" s="159" t="n">
        <v>10000</v>
      </c>
      <c r="K65" s="159" t="n">
        <v>8000</v>
      </c>
      <c r="L65" s="336">
        <f>H65+I65+J65+K65</f>
        <v/>
      </c>
      <c r="M65" s="127" t="n"/>
    </row>
    <row r="66" ht="15.75" customHeight="1">
      <c r="A66" s="152" t="inlineStr">
        <is>
          <t>CPO682</t>
        </is>
      </c>
      <c r="B66" s="152" t="inlineStr">
        <is>
          <t>2026.02.04</t>
        </is>
      </c>
      <c r="C66" s="245" t="inlineStr">
        <is>
          <t>Christie</t>
        </is>
      </c>
      <c r="D66" s="335" t="n">
        <v>20174</v>
      </c>
      <c r="E66" s="335" t="n">
        <v>24794</v>
      </c>
      <c r="F66" s="338">
        <f>IFERROR(D66/E66,0)</f>
        <v/>
      </c>
      <c r="G66" s="335" t="n">
        <v>1454.7</v>
      </c>
      <c r="H66" s="159" t="n">
        <v>29347118</v>
      </c>
      <c r="I66" s="159" t="n">
        <v>23673</v>
      </c>
      <c r="J66" s="159" t="n">
        <v>10171</v>
      </c>
      <c r="K66" s="159" t="n">
        <v>6509</v>
      </c>
      <c r="L66" s="336">
        <f>H66+I66+J66+K66</f>
        <v/>
      </c>
      <c r="M66" s="127" t="n"/>
    </row>
    <row r="67" ht="15.75" customHeight="1">
      <c r="A67" s="152" t="inlineStr">
        <is>
          <t>CPO683</t>
        </is>
      </c>
      <c r="B67" s="152" t="inlineStr">
        <is>
          <t>2026.02.04</t>
        </is>
      </c>
      <c r="C67" s="245" t="inlineStr">
        <is>
          <t>Christie</t>
        </is>
      </c>
      <c r="D67" s="335" t="n">
        <v>4620</v>
      </c>
      <c r="E67" s="335" t="n">
        <v>24794</v>
      </c>
      <c r="F67" s="338">
        <f>IFERROR(D67/E67,0)</f>
        <v/>
      </c>
      <c r="G67" s="335" t="n">
        <v>1454.7</v>
      </c>
      <c r="H67" s="159" t="n">
        <v>6720714</v>
      </c>
      <c r="I67" s="159" t="n">
        <v>5421</v>
      </c>
      <c r="J67" s="159" t="n">
        <v>2329</v>
      </c>
      <c r="K67" s="159" t="n">
        <v>1491</v>
      </c>
      <c r="L67" s="336">
        <f>H67+I67+J67+K67</f>
        <v/>
      </c>
      <c r="M67" s="127" t="n"/>
    </row>
    <row r="68" ht="15.75" customHeight="1">
      <c r="A68" s="152" t="inlineStr">
        <is>
          <t>GPO462</t>
        </is>
      </c>
      <c r="B68" s="152" t="inlineStr">
        <is>
          <t>2026.02.04</t>
        </is>
      </c>
      <c r="C68" s="245" t="inlineStr">
        <is>
          <t>GDC</t>
        </is>
      </c>
      <c r="D68" s="335" t="n">
        <v>1440</v>
      </c>
      <c r="E68" s="335" t="n">
        <v>11599.57</v>
      </c>
      <c r="F68" s="338">
        <f>IFERROR(D68/E68,0)</f>
        <v/>
      </c>
      <c r="G68" s="335" t="n">
        <v>1453.6</v>
      </c>
      <c r="H68" s="159" t="n">
        <v>2093184</v>
      </c>
      <c r="I68" s="159" t="n">
        <v>3609</v>
      </c>
      <c r="J68" s="159" t="n">
        <v>1241</v>
      </c>
      <c r="K68" s="159" t="n">
        <v>993</v>
      </c>
      <c r="L68" s="336">
        <f>H68+I68+J68+K68</f>
        <v/>
      </c>
      <c r="M68" s="127" t="n"/>
    </row>
    <row r="69" ht="15.75" customHeight="1">
      <c r="A69" s="152" t="inlineStr">
        <is>
          <t>GPO463</t>
        </is>
      </c>
      <c r="B69" s="152" t="inlineStr">
        <is>
          <t>2026.02.04</t>
        </is>
      </c>
      <c r="C69" s="245" t="inlineStr">
        <is>
          <t>GDC</t>
        </is>
      </c>
      <c r="D69" s="335" t="n">
        <v>4489</v>
      </c>
      <c r="E69" s="335" t="n">
        <v>11599.57</v>
      </c>
      <c r="F69" s="338">
        <f>IFERROR(D69/E69,0)</f>
        <v/>
      </c>
      <c r="G69" s="335" t="n">
        <v>1453.6</v>
      </c>
      <c r="H69" s="159" t="n">
        <v>6525210</v>
      </c>
      <c r="I69" s="159" t="n">
        <v>11251</v>
      </c>
      <c r="J69" s="159" t="n">
        <v>3870</v>
      </c>
      <c r="K69" s="159" t="n">
        <v>3096</v>
      </c>
      <c r="L69" s="336">
        <f>H69+I69+J69+K69</f>
        <v/>
      </c>
      <c r="M69" s="127" t="n"/>
    </row>
    <row r="70" ht="15.75" customHeight="1">
      <c r="A70" s="152" t="inlineStr">
        <is>
          <t>GPO464</t>
        </is>
      </c>
      <c r="B70" s="152" t="inlineStr">
        <is>
          <t>2026.02.04</t>
        </is>
      </c>
      <c r="C70" s="245" t="inlineStr">
        <is>
          <t>GDC</t>
        </is>
      </c>
      <c r="D70" s="335" t="n">
        <v>5670.57</v>
      </c>
      <c r="E70" s="335" t="n">
        <v>11599.57</v>
      </c>
      <c r="F70" s="338">
        <f>IFERROR(D70/E70,0)</f>
        <v/>
      </c>
      <c r="G70" s="335" t="n">
        <v>1453.6</v>
      </c>
      <c r="H70" s="159" t="n">
        <v>8242741</v>
      </c>
      <c r="I70" s="159" t="n">
        <v>14212</v>
      </c>
      <c r="J70" s="159" t="n">
        <v>4889</v>
      </c>
      <c r="K70" s="159" t="n">
        <v>3911</v>
      </c>
      <c r="L70" s="336">
        <f>H70+I70+J70+K70</f>
        <v/>
      </c>
      <c r="M70" s="127" t="n"/>
    </row>
    <row r="71" ht="15.75" customHeight="1">
      <c r="A71" s="152" t="inlineStr">
        <is>
          <t>CPO681</t>
        </is>
      </c>
      <c r="B71" s="152" t="inlineStr">
        <is>
          <t>2026.02.11</t>
        </is>
      </c>
      <c r="C71" s="245" t="inlineStr">
        <is>
          <t>Christie</t>
        </is>
      </c>
      <c r="D71" s="335" t="n">
        <v>26358</v>
      </c>
      <c r="E71" s="335" t="n">
        <v>26358</v>
      </c>
      <c r="F71" s="338">
        <f>IFERROR(D71/E71,0)</f>
        <v/>
      </c>
      <c r="G71" s="335" t="n">
        <v>1460.7</v>
      </c>
      <c r="H71" s="159" t="n">
        <v>38501131</v>
      </c>
      <c r="I71" s="159" t="n">
        <v>29214</v>
      </c>
      <c r="J71" s="159" t="n">
        <v>12500</v>
      </c>
      <c r="K71" s="159" t="n">
        <v>8000</v>
      </c>
      <c r="L71" s="336">
        <f>H71+I71+J71+K71</f>
        <v/>
      </c>
      <c r="M71" s="127" t="n"/>
    </row>
    <row r="72" ht="15.75" customHeight="1">
      <c r="A72" s="152" t="inlineStr">
        <is>
          <t>CPO686</t>
        </is>
      </c>
      <c r="B72" s="152" t="inlineStr">
        <is>
          <t>2026.02.19</t>
        </is>
      </c>
      <c r="C72" s="245" t="inlineStr">
        <is>
          <t>Christie</t>
        </is>
      </c>
      <c r="D72" s="335" t="n">
        <v>14793</v>
      </c>
      <c r="E72" s="335" t="n">
        <v>17538</v>
      </c>
      <c r="F72" s="338">
        <f>IFERROR(D72/E72,0)</f>
        <v/>
      </c>
      <c r="G72" s="335" t="n">
        <v>1451.7</v>
      </c>
      <c r="H72" s="159" t="n">
        <v>21474998</v>
      </c>
      <c r="I72" s="159" t="n">
        <v>24490</v>
      </c>
      <c r="J72" s="159" t="n">
        <v>8435</v>
      </c>
      <c r="K72" s="159" t="n">
        <v>6748</v>
      </c>
      <c r="L72" s="336">
        <f>H72+I72+J72+K72</f>
        <v/>
      </c>
      <c r="M72" s="127" t="n"/>
    </row>
    <row r="73" ht="15.75" customHeight="1">
      <c r="A73" s="152" t="inlineStr">
        <is>
          <t>CPO689</t>
        </is>
      </c>
      <c r="B73" s="152" t="inlineStr">
        <is>
          <t>2026.02.19</t>
        </is>
      </c>
      <c r="C73" s="245" t="inlineStr">
        <is>
          <t>Christie</t>
        </is>
      </c>
      <c r="D73" s="335" t="n">
        <v>2745</v>
      </c>
      <c r="E73" s="335" t="n">
        <v>17538</v>
      </c>
      <c r="F73" s="338">
        <f>IFERROR(D73/E73,0)</f>
        <v/>
      </c>
      <c r="G73" s="335" t="n">
        <v>1451.7</v>
      </c>
      <c r="H73" s="159" t="n">
        <v>3984917</v>
      </c>
      <c r="I73" s="159" t="n">
        <v>4544</v>
      </c>
      <c r="J73" s="159" t="n">
        <v>1565</v>
      </c>
      <c r="K73" s="159" t="n">
        <v>1252</v>
      </c>
      <c r="L73" s="336">
        <f>H73+I73+J73+K73</f>
        <v/>
      </c>
      <c r="M73" s="127" t="n"/>
    </row>
    <row r="74" ht="15.75" customHeight="1">
      <c r="A74" s="152" t="inlineStr">
        <is>
          <t>CPO667</t>
        </is>
      </c>
      <c r="B74" s="152" t="inlineStr">
        <is>
          <t>2026.02.27</t>
        </is>
      </c>
      <c r="C74" s="245" t="inlineStr">
        <is>
          <t>Christie</t>
        </is>
      </c>
      <c r="D74" s="335" t="n">
        <v>5673</v>
      </c>
      <c r="E74" s="335" t="n">
        <v>142189</v>
      </c>
      <c r="F74" s="338">
        <f>IFERROR(D74/E74,0)</f>
        <v/>
      </c>
      <c r="G74" s="335" t="n">
        <v>1441.6</v>
      </c>
      <c r="H74" s="159" t="n">
        <v>8178197</v>
      </c>
      <c r="I74" s="159" t="n">
        <v>1150</v>
      </c>
      <c r="J74" s="159" t="n">
        <v>499</v>
      </c>
      <c r="K74" s="159" t="n">
        <v>319</v>
      </c>
      <c r="L74" s="336">
        <f>H74+I74+J74+K74</f>
        <v/>
      </c>
      <c r="M74" s="127" t="n"/>
    </row>
    <row r="75" ht="15.75" customHeight="1">
      <c r="A75" s="152" t="inlineStr">
        <is>
          <t>CPO685</t>
        </is>
      </c>
      <c r="B75" s="152" t="inlineStr">
        <is>
          <t>2026.02.27</t>
        </is>
      </c>
      <c r="C75" s="245" t="inlineStr">
        <is>
          <t>Christie</t>
        </is>
      </c>
      <c r="D75" s="335" t="n">
        <v>136516</v>
      </c>
      <c r="E75" s="335" t="n">
        <v>142189</v>
      </c>
      <c r="F75" s="338">
        <f>IFERROR(D75/E75,0)</f>
        <v/>
      </c>
      <c r="G75" s="335" t="n">
        <v>1441.6</v>
      </c>
      <c r="H75" s="159" t="n">
        <v>196801466</v>
      </c>
      <c r="I75" s="159" t="n">
        <v>27682</v>
      </c>
      <c r="J75" s="159" t="n">
        <v>12001</v>
      </c>
      <c r="K75" s="159" t="n">
        <v>7681</v>
      </c>
      <c r="L75" s="336">
        <f>H75+I75+J75+K75</f>
        <v/>
      </c>
      <c r="M75" s="127" t="n"/>
    </row>
    <row r="76" ht="15.75" customHeight="1">
      <c r="A76" s="152" t="inlineStr">
        <is>
          <t>CPO678-2</t>
        </is>
      </c>
      <c r="B76" s="152" t="inlineStr">
        <is>
          <t>2026.03.06</t>
        </is>
      </c>
      <c r="C76" s="245" t="inlineStr">
        <is>
          <t>Christie</t>
        </is>
      </c>
      <c r="D76" s="335" t="n">
        <v>137850</v>
      </c>
      <c r="E76" s="335" t="n">
        <v>137850</v>
      </c>
      <c r="F76" s="338">
        <f>IFERROR(D76/E76,0)</f>
        <v/>
      </c>
      <c r="G76" s="335" t="n">
        <v>1477.6</v>
      </c>
      <c r="H76" s="159" t="n">
        <v>203687160</v>
      </c>
      <c r="I76" s="159" t="n">
        <v>29552</v>
      </c>
      <c r="J76" s="159" t="n">
        <v>12500</v>
      </c>
      <c r="K76" s="159" t="n">
        <v>8000</v>
      </c>
      <c r="L76" s="336">
        <f>H76+I76+J76+K76</f>
        <v/>
      </c>
      <c r="M76" s="127" t="n"/>
    </row>
    <row r="77" ht="15.75" customHeight="1">
      <c r="A77" s="152" t="inlineStr">
        <is>
          <t>CPO690</t>
        </is>
      </c>
      <c r="B77" s="152" t="inlineStr">
        <is>
          <t>2026.04.01</t>
        </is>
      </c>
      <c r="C77" s="245" t="inlineStr">
        <is>
          <t>Christie</t>
        </is>
      </c>
      <c r="D77" s="335" t="n">
        <v>9740</v>
      </c>
      <c r="E77" s="335" t="n">
        <v>34354</v>
      </c>
      <c r="F77" s="338">
        <f>IFERROR(D77/E77,0)</f>
        <v/>
      </c>
      <c r="G77" s="335" t="n">
        <v>1505.7</v>
      </c>
      <c r="H77" s="159" t="n">
        <v>14665518</v>
      </c>
      <c r="I77" s="159" t="n">
        <v>8538</v>
      </c>
      <c r="J77" s="159" t="n">
        <v>3544</v>
      </c>
      <c r="K77" s="159" t="n">
        <v>2268</v>
      </c>
      <c r="L77" s="336">
        <f>H77+I77+J77+K77</f>
        <v/>
      </c>
      <c r="M77" s="127" t="n"/>
    </row>
    <row r="78" ht="15.75" customHeight="1">
      <c r="A78" s="152" t="inlineStr">
        <is>
          <t>CPO691</t>
        </is>
      </c>
      <c r="B78" s="152" t="inlineStr">
        <is>
          <t>2026.04.01</t>
        </is>
      </c>
      <c r="C78" s="245" t="inlineStr">
        <is>
          <t>Christie</t>
        </is>
      </c>
      <c r="D78" s="335" t="n">
        <v>24614</v>
      </c>
      <c r="E78" s="335" t="n">
        <v>34354</v>
      </c>
      <c r="F78" s="338">
        <f>IFERROR(D78/E78,0)</f>
        <v/>
      </c>
      <c r="G78" s="335" t="n">
        <v>1505.7</v>
      </c>
      <c r="H78" s="159" t="n">
        <v>37061300</v>
      </c>
      <c r="I78" s="159" t="n">
        <v>21576</v>
      </c>
      <c r="J78" s="159" t="n">
        <v>8956</v>
      </c>
      <c r="K78" s="159" t="n">
        <v>5732</v>
      </c>
      <c r="L78" s="336">
        <f>H78+I78+J78+K78</f>
        <v/>
      </c>
      <c r="M78" s="127" t="n"/>
    </row>
    <row r="79" ht="15.75" customHeight="1">
      <c r="A79" s="152" t="inlineStr">
        <is>
          <t>GPO467</t>
        </is>
      </c>
      <c r="B79" s="152" t="inlineStr">
        <is>
          <t>2026.04.01</t>
        </is>
      </c>
      <c r="C79" s="245" t="inlineStr">
        <is>
          <t>GDC</t>
        </is>
      </c>
      <c r="D79" s="335" t="n">
        <v>1700</v>
      </c>
      <c r="E79" s="335" t="n">
        <v>6553.05</v>
      </c>
      <c r="F79" s="338">
        <f>IFERROR(D79/E79,0)</f>
        <v/>
      </c>
      <c r="G79" s="335" t="n">
        <v>1506.4</v>
      </c>
      <c r="H79" s="159" t="n">
        <v>2560880</v>
      </c>
      <c r="I79" s="159" t="n">
        <v>7816</v>
      </c>
      <c r="J79" s="159" t="n">
        <v>2594</v>
      </c>
      <c r="K79" s="159" t="n">
        <v>2075</v>
      </c>
      <c r="L79" s="336">
        <f>H79+I79+J79+K79</f>
        <v/>
      </c>
      <c r="M79" s="127" t="n"/>
    </row>
    <row r="80" ht="15.75" customHeight="1">
      <c r="A80" s="152" t="inlineStr">
        <is>
          <t>GPO469</t>
        </is>
      </c>
      <c r="B80" s="152" t="inlineStr">
        <is>
          <t>2026.04.01</t>
        </is>
      </c>
      <c r="C80" s="245" t="inlineStr">
        <is>
          <t>GDC</t>
        </is>
      </c>
      <c r="D80" s="335" t="n">
        <v>3993.05</v>
      </c>
      <c r="E80" s="335" t="n">
        <v>6553.05</v>
      </c>
      <c r="F80" s="338">
        <f>IFERROR(D80/E80,0)</f>
        <v/>
      </c>
      <c r="G80" s="335" t="n">
        <v>1506.4</v>
      </c>
      <c r="H80" s="159" t="n">
        <v>6015131</v>
      </c>
      <c r="I80" s="159" t="n">
        <v>18358</v>
      </c>
      <c r="J80" s="159" t="n">
        <v>6093</v>
      </c>
      <c r="K80" s="159" t="n">
        <v>4875</v>
      </c>
      <c r="L80" s="336">
        <f>H80+I80+J80+K80</f>
        <v/>
      </c>
      <c r="M80" s="127" t="n"/>
    </row>
    <row r="81" ht="15.75" customHeight="1">
      <c r="A81" s="152" t="inlineStr">
        <is>
          <t>GPO470</t>
        </is>
      </c>
      <c r="B81" s="152" t="inlineStr">
        <is>
          <t>2026.04.01</t>
        </is>
      </c>
      <c r="C81" s="245" t="inlineStr">
        <is>
          <t>GDC</t>
        </is>
      </c>
      <c r="D81" s="335" t="n">
        <v>360</v>
      </c>
      <c r="E81" s="335" t="n">
        <v>6553.05</v>
      </c>
      <c r="F81" s="338">
        <f>IFERROR(D81/E81,0)</f>
        <v/>
      </c>
      <c r="G81" s="335" t="n">
        <v>1506.4</v>
      </c>
      <c r="H81" s="159" t="n">
        <v>542304</v>
      </c>
      <c r="I81" s="159" t="n">
        <v>1655</v>
      </c>
      <c r="J81" s="159" t="n">
        <v>549</v>
      </c>
      <c r="K81" s="159" t="n">
        <v>439</v>
      </c>
      <c r="L81" s="336">
        <f>H81+I81+J81+K81</f>
        <v/>
      </c>
      <c r="M81" s="127" t="n"/>
    </row>
    <row r="82" ht="15.75" customHeight="1">
      <c r="A82" s="152" t="inlineStr">
        <is>
          <t>GPO471</t>
        </is>
      </c>
      <c r="B82" s="152" t="inlineStr">
        <is>
          <t>2026.04.01</t>
        </is>
      </c>
      <c r="C82" s="245" t="inlineStr">
        <is>
          <t>GDC</t>
        </is>
      </c>
      <c r="D82" s="335" t="n">
        <v>500</v>
      </c>
      <c r="E82" s="335" t="n">
        <v>6553.05</v>
      </c>
      <c r="F82" s="338">
        <f>IFERROR(D82/E82,0)</f>
        <v/>
      </c>
      <c r="G82" s="335" t="n">
        <v>1506.4</v>
      </c>
      <c r="H82" s="159" t="n">
        <v>753200</v>
      </c>
      <c r="I82" s="159" t="n">
        <v>2299</v>
      </c>
      <c r="J82" s="159" t="n">
        <v>764</v>
      </c>
      <c r="K82" s="159" t="n">
        <v>611</v>
      </c>
      <c r="L82" s="336">
        <f>H82+I82+J82+K82</f>
        <v/>
      </c>
      <c r="M82" s="127" t="n"/>
    </row>
    <row r="83" ht="15.75" customHeight="1">
      <c r="A83" s="152" t="inlineStr">
        <is>
          <t>GPO468-1</t>
        </is>
      </c>
      <c r="B83" s="152" t="inlineStr">
        <is>
          <t>2026.04.14</t>
        </is>
      </c>
      <c r="C83" s="245" t="inlineStr">
        <is>
          <t>GDC</t>
        </is>
      </c>
      <c r="D83" s="335" t="n">
        <v>36190</v>
      </c>
      <c r="E83" s="335" t="n">
        <v>57650</v>
      </c>
      <c r="F83" s="338">
        <f>IFERROR(D83/E83,0)</f>
        <v/>
      </c>
      <c r="G83" s="335" t="n">
        <v>1481.9</v>
      </c>
      <c r="H83" s="159" t="n">
        <v>53629961</v>
      </c>
      <c r="I83" s="159" t="n">
        <v>18605</v>
      </c>
      <c r="J83" s="159" t="n">
        <v>7847</v>
      </c>
      <c r="K83" s="159" t="n">
        <v>5022</v>
      </c>
      <c r="L83" s="336">
        <f>H83+I83+J83+K83</f>
        <v/>
      </c>
      <c r="M83" s="127" t="n"/>
    </row>
    <row r="84" ht="15.75" customHeight="1">
      <c r="A84" s="152" t="inlineStr">
        <is>
          <t>GPO472</t>
        </is>
      </c>
      <c r="B84" s="152" t="inlineStr">
        <is>
          <t>2026.04.14</t>
        </is>
      </c>
      <c r="C84" s="245" t="inlineStr">
        <is>
          <t>GDC</t>
        </is>
      </c>
      <c r="D84" s="335" t="n">
        <v>180</v>
      </c>
      <c r="E84" s="335" t="n">
        <v>57650</v>
      </c>
      <c r="F84" s="338">
        <f>IFERROR(D84/E84,0)</f>
        <v/>
      </c>
      <c r="G84" s="335" t="n">
        <v>1481.9</v>
      </c>
      <c r="H84" s="159" t="n">
        <v>266742</v>
      </c>
      <c r="I84" s="159" t="n">
        <v>93</v>
      </c>
      <c r="J84" s="159" t="n">
        <v>39</v>
      </c>
      <c r="K84" s="159" t="n">
        <v>25</v>
      </c>
      <c r="L84" s="336">
        <f>H84+I84+J84+K84</f>
        <v/>
      </c>
      <c r="M84" s="127" t="n"/>
    </row>
    <row r="85" ht="15.75" customHeight="1">
      <c r="A85" s="152" t="inlineStr">
        <is>
          <t>GPO468-2</t>
        </is>
      </c>
      <c r="B85" s="152" t="inlineStr">
        <is>
          <t>2026.04.14</t>
        </is>
      </c>
      <c r="C85" s="245" t="inlineStr">
        <is>
          <t>GDC</t>
        </is>
      </c>
      <c r="D85" s="335" t="n">
        <v>21280</v>
      </c>
      <c r="E85" s="335" t="n">
        <v>57650</v>
      </c>
      <c r="F85" s="338">
        <f>IFERROR(D85/E85,0)</f>
        <v/>
      </c>
      <c r="G85" s="335" t="n">
        <v>1481.9</v>
      </c>
      <c r="H85" s="159" t="n">
        <v>31534832</v>
      </c>
      <c r="I85" s="159" t="n">
        <v>10940</v>
      </c>
      <c r="J85" s="159" t="n">
        <v>4614</v>
      </c>
      <c r="K85" s="159" t="n">
        <v>2953</v>
      </c>
      <c r="L85" s="336">
        <f>H85+I85+J85+K85</f>
        <v/>
      </c>
    </row>
    <row r="86" ht="15.75" customHeight="1">
      <c r="A86" s="152" t="inlineStr">
        <is>
          <t>CPO692-1</t>
        </is>
      </c>
      <c r="B86" s="152" t="inlineStr">
        <is>
          <t>2026.04.22</t>
        </is>
      </c>
      <c r="C86" s="245" t="inlineStr">
        <is>
          <t>Christie</t>
        </is>
      </c>
      <c r="D86" s="335" t="n">
        <v>11000</v>
      </c>
      <c r="E86" s="335" t="n">
        <v>297580</v>
      </c>
      <c r="F86" s="338">
        <f>IFERROR(D86/E86,0)</f>
        <v/>
      </c>
      <c r="G86" s="335" t="n">
        <v>1482.8</v>
      </c>
      <c r="H86" s="159" t="n">
        <v>16310800</v>
      </c>
      <c r="I86" s="159" t="n">
        <v>1096</v>
      </c>
      <c r="J86" s="159" t="n">
        <v>462</v>
      </c>
      <c r="K86" s="159" t="n">
        <v>296</v>
      </c>
      <c r="L86" s="336">
        <f>H86+I86+J86+K86</f>
        <v/>
      </c>
    </row>
    <row r="87" ht="15.75" customHeight="1">
      <c r="A87" s="152" t="inlineStr">
        <is>
          <t>CPO692-2</t>
        </is>
      </c>
      <c r="B87" s="152" t="inlineStr">
        <is>
          <t>2026.04.22</t>
        </is>
      </c>
      <c r="C87" s="245" t="inlineStr">
        <is>
          <t>Christie</t>
        </is>
      </c>
      <c r="D87" s="335" t="n">
        <v>286580</v>
      </c>
      <c r="E87" s="335" t="n">
        <v>297580</v>
      </c>
      <c r="F87" s="338">
        <f>IFERROR(D87/E87,0)</f>
        <v/>
      </c>
      <c r="G87" s="335" t="n">
        <v>1482.8</v>
      </c>
      <c r="H87" s="159" t="n">
        <v>424940824</v>
      </c>
      <c r="I87" s="159" t="n">
        <v>28560</v>
      </c>
      <c r="J87" s="159" t="n">
        <v>12038</v>
      </c>
      <c r="K87" s="159" t="n">
        <v>7704</v>
      </c>
      <c r="L87" s="336">
        <f>H87+I87+J87+K87</f>
        <v/>
      </c>
    </row>
    <row r="88" ht="15.75" customHeight="1">
      <c r="A88" s="152" t="inlineStr">
        <is>
          <t>EPO18</t>
        </is>
      </c>
      <c r="B88" s="152" t="inlineStr">
        <is>
          <t>2026.04.22</t>
        </is>
      </c>
      <c r="C88" s="245" t="inlineStr">
        <is>
          <t>MAICO Italia</t>
        </is>
      </c>
      <c r="D88" s="335" t="n">
        <v>4388.4</v>
      </c>
      <c r="E88" s="335" t="n">
        <v>4388.4</v>
      </c>
      <c r="F88" s="338">
        <f>IFERROR(D88/E88,0)</f>
        <v/>
      </c>
      <c r="G88" s="335" t="n">
        <v>1741.08</v>
      </c>
      <c r="H88" s="159" t="n">
        <v>7640555</v>
      </c>
      <c r="I88" s="159" t="n">
        <v>43527</v>
      </c>
      <c r="J88" s="159" t="n">
        <v>10000</v>
      </c>
      <c r="K88" s="159" t="n">
        <v>8000</v>
      </c>
      <c r="L88" s="336">
        <f>H88+I88+J88+K88</f>
        <v/>
      </c>
    </row>
    <row r="89" ht="15.75" customHeight="1">
      <c r="A89" s="152" t="inlineStr">
        <is>
          <t>CPO694</t>
        </is>
      </c>
      <c r="B89" s="152" t="inlineStr">
        <is>
          <t>2026.05.04</t>
        </is>
      </c>
      <c r="C89" s="245" t="inlineStr">
        <is>
          <t>Christie</t>
        </is>
      </c>
      <c r="D89" s="335" t="n">
        <v>17404</v>
      </c>
      <c r="E89" s="335" t="n">
        <v>21439</v>
      </c>
      <c r="F89" s="338">
        <f>IFERROR(D89/E89,0)</f>
        <v/>
      </c>
      <c r="G89" s="335" t="n">
        <v>1474.9</v>
      </c>
      <c r="H89" s="159" t="n">
        <v>25669160</v>
      </c>
      <c r="I89" s="159" t="n">
        <v>23946</v>
      </c>
      <c r="J89" s="159" t="n">
        <v>10147</v>
      </c>
      <c r="K89" s="159" t="n">
        <v>6494</v>
      </c>
      <c r="L89" s="336">
        <f>H89+I89+J89+K89</f>
        <v/>
      </c>
    </row>
    <row r="90" ht="15.75" customHeight="1">
      <c r="A90" s="152" t="inlineStr">
        <is>
          <t>CPO695-1</t>
        </is>
      </c>
      <c r="B90" s="152" t="inlineStr">
        <is>
          <t>2026.05.04</t>
        </is>
      </c>
      <c r="C90" s="245" t="inlineStr">
        <is>
          <t>Christie</t>
        </is>
      </c>
      <c r="D90" s="335" t="n">
        <v>2058</v>
      </c>
      <c r="E90" s="335" t="n">
        <v>21439</v>
      </c>
      <c r="F90" s="338">
        <f>IFERROR(D90/E90,0)</f>
        <v/>
      </c>
      <c r="G90" s="335" t="n">
        <v>1474.9</v>
      </c>
      <c r="H90" s="159" t="n">
        <v>3035344</v>
      </c>
      <c r="I90" s="159" t="n">
        <v>2832</v>
      </c>
      <c r="J90" s="159" t="n">
        <v>1200</v>
      </c>
      <c r="K90" s="159" t="n">
        <v>768</v>
      </c>
      <c r="L90" s="336">
        <f>H90+I90+J90+K90</f>
        <v/>
      </c>
    </row>
    <row r="91" ht="15.75" customHeight="1">
      <c r="A91" s="152" t="inlineStr">
        <is>
          <t>CPO695-2</t>
        </is>
      </c>
      <c r="B91" s="152" t="inlineStr">
        <is>
          <t>2026.05.04</t>
        </is>
      </c>
      <c r="C91" s="245" t="inlineStr">
        <is>
          <t>Christie</t>
        </is>
      </c>
      <c r="D91" s="335" t="n">
        <v>1977</v>
      </c>
      <c r="E91" s="335" t="n">
        <v>21439</v>
      </c>
      <c r="F91" s="338">
        <f>IFERROR(D91/E91,0)</f>
        <v/>
      </c>
      <c r="G91" s="335" t="n">
        <v>1474.9</v>
      </c>
      <c r="H91" s="159" t="n">
        <v>2915877</v>
      </c>
      <c r="I91" s="159" t="n">
        <v>2720</v>
      </c>
      <c r="J91" s="159" t="n">
        <v>1153</v>
      </c>
      <c r="K91" s="159" t="n">
        <v>738</v>
      </c>
      <c r="L91" s="336">
        <f>H91+I91+J91+K91</f>
        <v/>
      </c>
    </row>
    <row r="92" ht="15.75" customHeight="1">
      <c r="A92" s="152" t="inlineStr">
        <is>
          <t>IPO016</t>
        </is>
      </c>
      <c r="B92" s="152" t="inlineStr">
        <is>
          <t>2026.05.04</t>
        </is>
      </c>
      <c r="C92" s="245" t="inlineStr">
        <is>
          <t>Integ</t>
        </is>
      </c>
      <c r="D92" s="335" t="n">
        <v>6800</v>
      </c>
      <c r="E92" s="335" t="n">
        <v>6800</v>
      </c>
      <c r="F92" s="338">
        <f>IFERROR(D92/E92,0)</f>
        <v/>
      </c>
      <c r="G92" s="335" t="n">
        <v>1475.2</v>
      </c>
      <c r="H92" s="159" t="n">
        <v>10031360</v>
      </c>
      <c r="I92" s="159" t="n">
        <v>29504</v>
      </c>
      <c r="J92" s="159" t="n">
        <v>10000</v>
      </c>
      <c r="K92" s="159" t="n">
        <v>8000</v>
      </c>
      <c r="L92" s="336">
        <f>H92+I92+J92+K92</f>
        <v/>
      </c>
      <c r="M92" s="22" t="n"/>
    </row>
    <row r="93" ht="15.75" customHeight="1">
      <c r="A93" s="152" t="inlineStr">
        <is>
          <t>PI44133-1</t>
        </is>
      </c>
      <c r="B93" s="152" t="inlineStr">
        <is>
          <t>2026.05.12</t>
        </is>
      </c>
      <c r="C93" s="245" t="inlineStr">
        <is>
          <t>Ferco (Figueras)</t>
        </is>
      </c>
      <c r="D93" s="335" t="n">
        <v>4416</v>
      </c>
      <c r="E93" s="335" t="n">
        <v>4416</v>
      </c>
      <c r="F93" s="338">
        <f>IFERROR(D93/E93,0)</f>
        <v/>
      </c>
      <c r="G93" s="335" t="n">
        <v>1755.24</v>
      </c>
      <c r="H93" s="159" t="n">
        <v>7751140</v>
      </c>
      <c r="I93" s="159" t="n">
        <v>43881</v>
      </c>
      <c r="J93" s="159" t="n">
        <v>10000</v>
      </c>
      <c r="K93" s="159" t="n">
        <v>8000</v>
      </c>
      <c r="L93" s="336">
        <f>H93+I93+J93+K93</f>
        <v/>
      </c>
    </row>
    <row r="94" ht="15.75" customHeight="1">
      <c r="A94" s="152" t="inlineStr">
        <is>
          <t>GPO478</t>
        </is>
      </c>
      <c r="B94" s="152" t="inlineStr">
        <is>
          <t>2026.05.19</t>
        </is>
      </c>
      <c r="C94" s="245" t="inlineStr">
        <is>
          <t>GDC</t>
        </is>
      </c>
      <c r="D94" s="335" t="n">
        <v>180</v>
      </c>
      <c r="E94" s="335" t="n">
        <v>180</v>
      </c>
      <c r="F94" s="338">
        <f>IFERROR(D94/E94,0)</f>
        <v/>
      </c>
      <c r="G94" s="335" t="n">
        <v>1518.9</v>
      </c>
      <c r="H94" s="159" t="n">
        <v>273402</v>
      </c>
      <c r="I94" s="159" t="n">
        <v>30378</v>
      </c>
      <c r="J94" s="159" t="n">
        <v>2500</v>
      </c>
      <c r="K94" s="159" t="n">
        <v>8000</v>
      </c>
      <c r="L94" s="336">
        <f>H94+I94+J94+K94</f>
        <v/>
      </c>
    </row>
    <row r="95" ht="15.75" customHeight="1">
      <c r="A95" s="152" t="inlineStr">
        <is>
          <t>CPO698</t>
        </is>
      </c>
      <c r="B95" s="152" t="inlineStr">
        <is>
          <t>2026.05.20</t>
        </is>
      </c>
      <c r="C95" s="245" t="inlineStr">
        <is>
          <t>Christie</t>
        </is>
      </c>
      <c r="D95" s="335" t="n">
        <v>4290</v>
      </c>
      <c r="E95" s="335" t="n">
        <v>4290</v>
      </c>
      <c r="F95" s="338">
        <f>IFERROR(D95/E95,0)</f>
        <v/>
      </c>
      <c r="G95" s="335" t="n">
        <v>1510.6</v>
      </c>
      <c r="H95" s="159" t="n">
        <v>6480474</v>
      </c>
      <c r="I95" s="159" t="n">
        <v>30212</v>
      </c>
      <c r="J95" s="159" t="n">
        <v>7500</v>
      </c>
      <c r="K95" s="159" t="n">
        <v>8000</v>
      </c>
      <c r="L95" s="336">
        <f>H95+I95+J95+K95</f>
        <v/>
      </c>
    </row>
    <row r="96" ht="15.75" customHeight="1">
      <c r="A96" s="152" t="inlineStr">
        <is>
          <t>GPO473-1</t>
        </is>
      </c>
      <c r="B96" s="152" t="inlineStr">
        <is>
          <t>2026.05.29</t>
        </is>
      </c>
      <c r="C96" s="245" t="inlineStr">
        <is>
          <t>GDC</t>
        </is>
      </c>
      <c r="D96" s="335" t="n">
        <v>98800</v>
      </c>
      <c r="E96" s="335" t="n">
        <v>99140</v>
      </c>
      <c r="F96" s="338">
        <f>IFERROR(D96/E96,0)</f>
        <v/>
      </c>
      <c r="G96" s="335" t="n">
        <v>1502.8</v>
      </c>
      <c r="H96" s="159" t="n">
        <v>148476640</v>
      </c>
      <c r="I96" s="159" t="n">
        <v>29953</v>
      </c>
      <c r="J96" s="159" t="n">
        <v>12457</v>
      </c>
      <c r="K96" s="159" t="n">
        <v>7973</v>
      </c>
      <c r="L96" s="336">
        <f>H96+I96+J96+K96</f>
        <v/>
      </c>
    </row>
    <row r="97" ht="15.75" customHeight="1">
      <c r="A97" s="152" t="inlineStr">
        <is>
          <t>GPO480</t>
        </is>
      </c>
      <c r="B97" s="152" t="inlineStr">
        <is>
          <t>2026.05.29</t>
        </is>
      </c>
      <c r="C97" s="245" t="inlineStr">
        <is>
          <t>GDC</t>
        </is>
      </c>
      <c r="D97" s="335" t="n">
        <v>250</v>
      </c>
      <c r="E97" s="335" t="n">
        <v>99140</v>
      </c>
      <c r="F97" s="338">
        <f>IFERROR(D97/E97,0)</f>
        <v/>
      </c>
      <c r="G97" s="335" t="n">
        <v>1502.8</v>
      </c>
      <c r="H97" s="159" t="n">
        <v>375700</v>
      </c>
      <c r="I97" s="159" t="n">
        <v>76</v>
      </c>
      <c r="J97" s="159" t="n">
        <v>32</v>
      </c>
      <c r="K97" s="159" t="n">
        <v>20</v>
      </c>
      <c r="L97" s="336">
        <f>H97+I97+J97+K97</f>
        <v/>
      </c>
    </row>
    <row r="98" ht="15.75" customHeight="1">
      <c r="A98" s="152" t="inlineStr">
        <is>
          <t>GPO479</t>
        </is>
      </c>
      <c r="B98" s="152" t="inlineStr">
        <is>
          <t>2026.05.29</t>
        </is>
      </c>
      <c r="C98" s="245" t="inlineStr">
        <is>
          <t>GDC</t>
        </is>
      </c>
      <c r="D98" s="335" t="n">
        <v>90</v>
      </c>
      <c r="E98" s="335" t="n">
        <v>99140</v>
      </c>
      <c r="F98" s="338">
        <f>IFERROR(D98/E98,0)</f>
        <v/>
      </c>
      <c r="G98" s="335" t="n">
        <v>1502.8</v>
      </c>
      <c r="H98" s="159" t="n">
        <v>135252</v>
      </c>
      <c r="I98" s="159" t="n">
        <v>27</v>
      </c>
      <c r="J98" s="159" t="n">
        <v>11</v>
      </c>
      <c r="K98" s="159" t="n">
        <v>7</v>
      </c>
      <c r="L98" s="336">
        <f>H98+I98+J98+K98</f>
        <v/>
      </c>
    </row>
    <row r="99" ht="15.75" customHeight="1">
      <c r="A99" s="152" t="inlineStr">
        <is>
          <t>CPO697</t>
        </is>
      </c>
      <c r="B99" s="152" t="inlineStr">
        <is>
          <t>2026.05.29</t>
        </is>
      </c>
      <c r="C99" s="245" t="inlineStr">
        <is>
          <t>Christie</t>
        </is>
      </c>
      <c r="D99" s="335" t="n">
        <v>15289</v>
      </c>
      <c r="E99" s="335" t="n">
        <v>101638</v>
      </c>
      <c r="F99" s="338">
        <f>IFERROR(D99/E99,0)</f>
        <v/>
      </c>
      <c r="G99" s="335" t="n">
        <v>1502.7</v>
      </c>
      <c r="H99" s="159" t="n">
        <v>22974780</v>
      </c>
      <c r="I99" s="159" t="n">
        <v>4521</v>
      </c>
      <c r="J99" s="159" t="n">
        <v>1880</v>
      </c>
      <c r="K99" s="159" t="n">
        <v>1203</v>
      </c>
      <c r="L99" s="336">
        <f>H99+I99+J99+K99</f>
        <v/>
      </c>
    </row>
    <row r="100" ht="15.75" customHeight="1">
      <c r="A100" s="152" t="inlineStr">
        <is>
          <t>CPO696-1</t>
        </is>
      </c>
      <c r="B100" s="152" t="inlineStr">
        <is>
          <t>2026.05.29</t>
        </is>
      </c>
      <c r="C100" s="245" t="inlineStr">
        <is>
          <t>Christie</t>
        </is>
      </c>
      <c r="D100" s="335" t="n">
        <v>78209</v>
      </c>
      <c r="E100" s="335" t="n">
        <v>101638</v>
      </c>
      <c r="F100" s="338">
        <f>IFERROR(D100/E100,0)</f>
        <v/>
      </c>
      <c r="G100" s="335" t="n">
        <v>1502.7</v>
      </c>
      <c r="H100" s="159" t="n">
        <v>117524664</v>
      </c>
      <c r="I100" s="159" t="n">
        <v>23126</v>
      </c>
      <c r="J100" s="159" t="n">
        <v>9619</v>
      </c>
      <c r="K100" s="159" t="n">
        <v>6156</v>
      </c>
      <c r="L100" s="336">
        <f>H100+I100+J100+K100</f>
        <v/>
      </c>
    </row>
    <row r="101" ht="15.75" customHeight="1">
      <c r="A101" s="152" t="inlineStr">
        <is>
          <t>CPO696-2</t>
        </is>
      </c>
      <c r="B101" s="152" t="inlineStr">
        <is>
          <t>2026.05.29</t>
        </is>
      </c>
      <c r="C101" s="245" t="inlineStr">
        <is>
          <t>Christie</t>
        </is>
      </c>
      <c r="D101" s="335" t="n">
        <v>8140</v>
      </c>
      <c r="E101" s="335" t="n">
        <v>101638</v>
      </c>
      <c r="F101" s="338">
        <f>IFERROR(D101/E101,0)</f>
        <v/>
      </c>
      <c r="G101" s="335" t="n">
        <v>1502.7</v>
      </c>
      <c r="H101" s="159" t="n">
        <v>12231978</v>
      </c>
      <c r="I101" s="159" t="n">
        <v>2407</v>
      </c>
      <c r="J101" s="159" t="n">
        <v>1001</v>
      </c>
      <c r="K101" s="159" t="n">
        <v>641</v>
      </c>
      <c r="L101" s="336">
        <f>H101+I101+J101+K101</f>
        <v/>
      </c>
    </row>
    <row r="102" ht="15.75" customHeight="1">
      <c r="A102" s="152" t="inlineStr">
        <is>
          <t>GPO481</t>
        </is>
      </c>
      <c r="B102" s="152" t="inlineStr">
        <is>
          <t>2026.06.10</t>
        </is>
      </c>
      <c r="C102" s="245" t="inlineStr">
        <is>
          <t>GDC</t>
        </is>
      </c>
      <c r="D102" s="335" t="n">
        <v>500</v>
      </c>
      <c r="E102" s="335" t="n">
        <v>119060</v>
      </c>
      <c r="F102" s="338">
        <f>IFERROR(D102/E102,0)</f>
        <v/>
      </c>
      <c r="G102" s="335" t="n">
        <v>1525.3</v>
      </c>
      <c r="H102" s="159" t="n">
        <v>762650</v>
      </c>
      <c r="I102" s="159" t="n">
        <v>128</v>
      </c>
      <c r="J102" s="159" t="n">
        <v>52</v>
      </c>
      <c r="K102" s="159" t="n">
        <v>34</v>
      </c>
      <c r="L102" s="336">
        <f>H102+I102+J102+K102</f>
        <v/>
      </c>
    </row>
    <row r="103" ht="15.75" customHeight="1">
      <c r="A103" s="152" t="inlineStr">
        <is>
          <t>GPO473-2</t>
        </is>
      </c>
      <c r="B103" s="152" t="inlineStr">
        <is>
          <t>2026.06.10</t>
        </is>
      </c>
      <c r="C103" s="245" t="inlineStr">
        <is>
          <t>GDC</t>
        </is>
      </c>
      <c r="D103" s="335" t="n">
        <v>69160</v>
      </c>
      <c r="E103" s="335" t="n">
        <v>119060</v>
      </c>
      <c r="F103" s="338">
        <f>IFERROR(D103/E103,0)</f>
        <v/>
      </c>
      <c r="G103" s="335" t="n">
        <v>1525.3</v>
      </c>
      <c r="H103" s="159" t="n">
        <v>105489748</v>
      </c>
      <c r="I103" s="159" t="n">
        <v>17720</v>
      </c>
      <c r="J103" s="159" t="n">
        <v>7261</v>
      </c>
      <c r="K103" s="159" t="n">
        <v>4647</v>
      </c>
      <c r="L103" s="336">
        <f>H103+I103+J103+K103</f>
        <v/>
      </c>
    </row>
    <row r="104" ht="15.75" customHeight="1">
      <c r="A104" s="152" t="inlineStr">
        <is>
          <t>GPO473-3</t>
        </is>
      </c>
      <c r="B104" s="152" t="inlineStr">
        <is>
          <t>2026.06.10</t>
        </is>
      </c>
      <c r="C104" s="245" t="inlineStr">
        <is>
          <t>GDC</t>
        </is>
      </c>
      <c r="D104" s="335" t="n">
        <v>49400</v>
      </c>
      <c r="E104" s="335" t="n">
        <v>119060</v>
      </c>
      <c r="F104" s="338">
        <f>IFERROR(D104/E104,0)</f>
        <v/>
      </c>
      <c r="G104" s="335" t="n">
        <v>1525.3</v>
      </c>
      <c r="H104" s="159" t="n">
        <v>75349820</v>
      </c>
      <c r="I104" s="159" t="n">
        <v>12657</v>
      </c>
      <c r="J104" s="159" t="n">
        <v>5187</v>
      </c>
      <c r="K104" s="159" t="n">
        <v>3319</v>
      </c>
      <c r="L104" s="336">
        <f>H104+I104+J104+K104</f>
        <v/>
      </c>
    </row>
    <row r="105" ht="15.75" customHeight="1">
      <c r="A105" s="152" t="inlineStr">
        <is>
          <t>CPO696-3</t>
        </is>
      </c>
      <c r="B105" s="152" t="inlineStr">
        <is>
          <t>2026.06.17</t>
        </is>
      </c>
      <c r="C105" s="245" t="inlineStr">
        <is>
          <t>Christie</t>
        </is>
      </c>
      <c r="D105" s="335" t="n">
        <v>351274</v>
      </c>
      <c r="E105" s="335" t="n">
        <v>351274</v>
      </c>
      <c r="F105" s="338">
        <f>IFERROR(D105/E105,0)</f>
        <v/>
      </c>
      <c r="G105" s="335" t="n">
        <v>1518</v>
      </c>
      <c r="H105" s="159" t="n">
        <v>533233932</v>
      </c>
      <c r="I105" s="159" t="n">
        <v>30360</v>
      </c>
      <c r="J105" s="159" t="n">
        <v>12500</v>
      </c>
      <c r="K105" s="159" t="n">
        <v>8000</v>
      </c>
      <c r="L105" s="336">
        <f>H105+I105+J105+K105</f>
        <v/>
      </c>
    </row>
    <row r="106" ht="15.75" customHeight="1">
      <c r="A106" s="152" t="inlineStr">
        <is>
          <t>APO001</t>
        </is>
      </c>
      <c r="B106" s="152" t="inlineStr">
        <is>
          <t>2026.06.17</t>
        </is>
      </c>
      <c r="C106" s="245" t="inlineStr">
        <is>
          <t>Appotronics</t>
        </is>
      </c>
      <c r="D106" s="335" t="n">
        <v>12400</v>
      </c>
      <c r="E106" s="335" t="n">
        <v>12400</v>
      </c>
      <c r="F106" s="338">
        <f>IFERROR(D106/E106,0)</f>
        <v/>
      </c>
      <c r="G106" s="335" t="n">
        <v>1517.1</v>
      </c>
      <c r="H106" s="159" t="n">
        <v>18812040</v>
      </c>
      <c r="I106" s="159" t="n">
        <v>30342</v>
      </c>
      <c r="J106" s="159" t="n">
        <v>10000</v>
      </c>
      <c r="K106" s="159" t="n">
        <v>8000</v>
      </c>
      <c r="L106" s="336">
        <f>H106+I106+J106+K106</f>
        <v/>
      </c>
    </row>
    <row r="107" ht="15.75" customHeight="1">
      <c r="A107" s="152" t="inlineStr">
        <is>
          <t>MPO67</t>
        </is>
      </c>
      <c r="B107" s="152" t="inlineStr">
        <is>
          <t>2026.06.17</t>
        </is>
      </c>
      <c r="C107" s="245" t="inlineStr">
        <is>
          <t>MAG</t>
        </is>
      </c>
      <c r="D107" s="335" t="n">
        <v>49138.8</v>
      </c>
      <c r="E107" s="335" t="n">
        <v>60726</v>
      </c>
      <c r="F107" s="338">
        <f>IFERROR(D107/E107,0)</f>
        <v/>
      </c>
      <c r="G107" s="335" t="n">
        <v>1517.3</v>
      </c>
      <c r="H107" s="159" t="n">
        <v>74558301</v>
      </c>
      <c r="I107" s="159" t="n">
        <v>24555</v>
      </c>
      <c r="J107" s="159" t="n">
        <v>10115</v>
      </c>
      <c r="K107" s="159" t="n">
        <v>6473</v>
      </c>
      <c r="L107" s="336">
        <f>H107+I107+J107+K107</f>
        <v/>
      </c>
    </row>
    <row r="108" ht="15.75" customHeight="1">
      <c r="A108" s="152" t="inlineStr">
        <is>
          <t>MPO68</t>
        </is>
      </c>
      <c r="B108" s="152" t="inlineStr">
        <is>
          <t>2026.06.17</t>
        </is>
      </c>
      <c r="C108" s="245" t="inlineStr">
        <is>
          <t>MAG</t>
        </is>
      </c>
      <c r="D108" s="335" t="n">
        <v>11587.2</v>
      </c>
      <c r="E108" s="335" t="n">
        <v>60726</v>
      </c>
      <c r="F108" s="338">
        <f>IFERROR(D108/E108,0)</f>
        <v/>
      </c>
      <c r="G108" s="335" t="n">
        <v>1517.3</v>
      </c>
      <c r="H108" s="159" t="n">
        <v>17581259</v>
      </c>
      <c r="I108" s="159" t="n">
        <v>5791</v>
      </c>
      <c r="J108" s="159" t="n">
        <v>2385</v>
      </c>
      <c r="K108" s="159" t="n">
        <v>1527</v>
      </c>
      <c r="L108" s="336">
        <f>H108+I108+J108+K108</f>
        <v/>
      </c>
    </row>
    <row r="109" ht="15.75" customHeight="1">
      <c r="A109" s="152" t="inlineStr">
        <is>
          <t>GPO475</t>
        </is>
      </c>
      <c r="B109" s="152" t="inlineStr">
        <is>
          <t>2026.06.17</t>
        </is>
      </c>
      <c r="C109" s="245" t="inlineStr">
        <is>
          <t>GDC</t>
        </is>
      </c>
      <c r="D109" s="335" t="n">
        <v>540</v>
      </c>
      <c r="E109" s="335" t="n">
        <v>2040</v>
      </c>
      <c r="F109" s="338">
        <f>IFERROR(D109/E109,0)</f>
        <v/>
      </c>
      <c r="G109" s="335" t="n">
        <v>1516.8</v>
      </c>
      <c r="H109" s="159" t="n">
        <v>819072</v>
      </c>
      <c r="I109" s="159" t="n">
        <v>8030</v>
      </c>
      <c r="J109" s="159" t="n">
        <v>1985</v>
      </c>
      <c r="K109" s="159" t="n">
        <v>2118</v>
      </c>
      <c r="L109" s="336">
        <f>H109+I109+J109+K109</f>
        <v/>
      </c>
    </row>
    <row r="110" ht="15.75" customHeight="1">
      <c r="A110" s="152" t="inlineStr">
        <is>
          <t>GPO475-수리</t>
        </is>
      </c>
      <c r="B110" s="152" t="inlineStr">
        <is>
          <t>2026.06.17</t>
        </is>
      </c>
      <c r="C110" s="245" t="inlineStr">
        <is>
          <t>GDC</t>
        </is>
      </c>
      <c r="D110" s="335" t="n">
        <v>1500</v>
      </c>
      <c r="E110" s="335" t="n">
        <v>2040</v>
      </c>
      <c r="F110" s="338">
        <f>IFERROR(D110/E110,0)</f>
        <v/>
      </c>
      <c r="G110" s="335" t="n">
        <v>1516.8</v>
      </c>
      <c r="H110" s="159" t="n">
        <v>2275200</v>
      </c>
      <c r="I110" s="159" t="n">
        <v>22306</v>
      </c>
      <c r="J110" s="159" t="n">
        <v>5515</v>
      </c>
      <c r="K110" s="159" t="n">
        <v>5882</v>
      </c>
      <c r="L110" s="336">
        <f>H110+I110+J110+K110</f>
        <v/>
      </c>
    </row>
    <row r="111" ht="15.75" customHeight="1">
      <c r="A111" s="152" t="inlineStr">
        <is>
          <t>PI44133-2</t>
        </is>
      </c>
      <c r="B111" s="152" t="inlineStr">
        <is>
          <t>2026.07.14</t>
        </is>
      </c>
      <c r="C111" s="245" t="inlineStr">
        <is>
          <t>Ferco (Figueras)</t>
        </is>
      </c>
      <c r="D111" s="335" t="n">
        <v>13248</v>
      </c>
      <c r="E111" s="335" t="n">
        <v>13248</v>
      </c>
      <c r="F111" s="338">
        <f>IFERROR(D111/E111,0)</f>
        <v/>
      </c>
      <c r="G111" s="335" t="n">
        <v>1701.72</v>
      </c>
      <c r="H111" s="159" t="n">
        <v>22544387</v>
      </c>
      <c r="I111" s="159" t="n">
        <v>42543</v>
      </c>
      <c r="J111" s="159" t="n">
        <v>10000</v>
      </c>
      <c r="K111" s="159" t="n">
        <v>8000</v>
      </c>
      <c r="L111" s="336">
        <f>H111+I111+J111+K111</f>
        <v/>
      </c>
    </row>
    <row r="112" ht="15.75" customHeight="1">
      <c r="A112" s="152" t="inlineStr">
        <is>
          <t>GPO488</t>
        </is>
      </c>
      <c r="B112" s="152" t="inlineStr">
        <is>
          <t>2026.08.04</t>
        </is>
      </c>
      <c r="C112" s="245" t="inlineStr">
        <is>
          <t>GDC</t>
        </is>
      </c>
      <c r="D112" s="335" t="n">
        <v>180</v>
      </c>
      <c r="E112" s="335" t="n">
        <v>180</v>
      </c>
      <c r="F112" s="338">
        <f>IFERROR(D112/E112,0)</f>
        <v/>
      </c>
      <c r="G112" s="335" t="n">
        <v>1432.9</v>
      </c>
      <c r="H112" s="159" t="n">
        <v>257922</v>
      </c>
      <c r="I112" s="159" t="n">
        <v>28658</v>
      </c>
      <c r="J112" s="159" t="n">
        <v>2500</v>
      </c>
      <c r="K112" s="159" t="n">
        <v>8000</v>
      </c>
      <c r="L112" s="336">
        <f>H112+I112+J112+K112</f>
        <v/>
      </c>
    </row>
    <row r="113" ht="15.75" customHeight="1">
      <c r="A113" s="152" t="inlineStr">
        <is>
          <t>CPO700</t>
        </is>
      </c>
      <c r="B113" s="152" t="inlineStr">
        <is>
          <t>2026.08.07</t>
        </is>
      </c>
      <c r="C113" s="245" t="inlineStr">
        <is>
          <t>Christie</t>
        </is>
      </c>
      <c r="D113" s="335" t="n">
        <v>1114</v>
      </c>
      <c r="E113" s="335" t="n">
        <v>33829</v>
      </c>
      <c r="F113" s="338">
        <f>IFERROR(D113/E113,0)</f>
        <v/>
      </c>
      <c r="G113" s="335" t="n">
        <v>1429.8</v>
      </c>
      <c r="H113" s="159" t="n">
        <v>1592797</v>
      </c>
      <c r="I113" s="159" t="n">
        <v>942</v>
      </c>
      <c r="J113" s="159" t="n">
        <v>412</v>
      </c>
      <c r="K113" s="159" t="n">
        <v>263</v>
      </c>
      <c r="L113" s="336">
        <f>H113+I113+J113+K113</f>
        <v/>
      </c>
    </row>
    <row r="114" ht="15.75" customHeight="1">
      <c r="A114" s="152" t="inlineStr">
        <is>
          <t>CPO702</t>
        </is>
      </c>
      <c r="B114" s="152" t="inlineStr">
        <is>
          <t>2026.08.07</t>
        </is>
      </c>
      <c r="C114" s="245" t="inlineStr">
        <is>
          <t>Christie</t>
        </is>
      </c>
      <c r="D114" s="335" t="n">
        <v>32715</v>
      </c>
      <c r="E114" s="335" t="n">
        <v>33829</v>
      </c>
      <c r="F114" s="338">
        <f>IFERROR(D114/E114,0)</f>
        <v/>
      </c>
      <c r="G114" s="335" t="n">
        <v>1429.8</v>
      </c>
      <c r="H114" s="159" t="n">
        <v>46775907</v>
      </c>
      <c r="I114" s="159" t="n">
        <v>27654</v>
      </c>
      <c r="J114" s="159" t="n">
        <v>12088</v>
      </c>
      <c r="K114" s="159" t="n">
        <v>7737</v>
      </c>
      <c r="L114" s="336">
        <f>H114+I114+J114+K114</f>
        <v/>
      </c>
    </row>
    <row r="115" ht="15.75" customHeight="1">
      <c r="A115" s="152" t="inlineStr">
        <is>
          <t>GPO493</t>
        </is>
      </c>
      <c r="B115" s="152" t="inlineStr">
        <is>
          <t>2026.08.11</t>
        </is>
      </c>
      <c r="C115" s="245" t="inlineStr">
        <is>
          <t>GDC</t>
        </is>
      </c>
      <c r="D115" s="335" t="n">
        <v>4470</v>
      </c>
      <c r="E115" s="335" t="n">
        <v>4470</v>
      </c>
      <c r="F115" s="338">
        <f>IFERROR(D115/E115,0)</f>
        <v/>
      </c>
      <c r="G115" s="335" t="n">
        <v>1419.3</v>
      </c>
      <c r="H115" s="159" t="n">
        <v>6344271</v>
      </c>
      <c r="I115" s="159" t="n">
        <v>28386</v>
      </c>
      <c r="J115" s="159" t="n">
        <v>7500</v>
      </c>
      <c r="K115" s="159" t="n">
        <v>8000</v>
      </c>
      <c r="L115" s="336">
        <f>H115+I115+J115+K115</f>
        <v/>
      </c>
    </row>
    <row r="116" ht="15.75" customHeight="1">
      <c r="A116" s="152" t="inlineStr">
        <is>
          <t>MLS20260814-01</t>
        </is>
      </c>
      <c r="B116" s="152" t="inlineStr">
        <is>
          <t>2026.08.14</t>
        </is>
      </c>
      <c r="C116" s="245" t="inlineStr">
        <is>
          <t>MLS</t>
        </is>
      </c>
      <c r="D116" s="335" t="n">
        <v>2475</v>
      </c>
      <c r="E116" s="335" t="n">
        <v>2475</v>
      </c>
      <c r="F116" s="338">
        <f>IFERROR(D116/E116,0)</f>
        <v/>
      </c>
      <c r="G116" s="335" t="n">
        <v>1423.1</v>
      </c>
      <c r="H116" s="159" t="n">
        <v>3522173</v>
      </c>
      <c r="I116" s="159" t="n">
        <v>28462</v>
      </c>
      <c r="J116" s="159" t="n">
        <v>7500</v>
      </c>
      <c r="K116" s="159" t="n">
        <v>8000</v>
      </c>
      <c r="L116" s="336">
        <f>H116+I116+J116+K116</f>
        <v/>
      </c>
    </row>
    <row r="117" ht="15.75" customHeight="1">
      <c r="A117" s="152" t="inlineStr">
        <is>
          <t>CPO701</t>
        </is>
      </c>
      <c r="B117" s="152" t="inlineStr">
        <is>
          <t>2026.08.18</t>
        </is>
      </c>
      <c r="C117" s="245" t="inlineStr">
        <is>
          <t>Christie</t>
        </is>
      </c>
      <c r="D117" s="335" t="n">
        <v>54</v>
      </c>
      <c r="E117" s="335" t="n">
        <v>604</v>
      </c>
      <c r="F117" s="338">
        <f>IFERROR(D117/E117,0)</f>
        <v/>
      </c>
      <c r="G117" s="335" t="n">
        <v>1417.1</v>
      </c>
      <c r="H117" s="159" t="n">
        <v>76523</v>
      </c>
      <c r="I117" s="159" t="n">
        <v>2534</v>
      </c>
      <c r="J117" s="159" t="n">
        <v>447</v>
      </c>
      <c r="K117" s="159" t="n">
        <v>715</v>
      </c>
      <c r="L117" s="336">
        <f>H117+I117+J117+K117</f>
        <v/>
      </c>
    </row>
    <row r="118" ht="15.75" customHeight="1">
      <c r="A118" s="152" t="inlineStr">
        <is>
          <t>CPO705-1</t>
        </is>
      </c>
      <c r="B118" s="152" t="inlineStr">
        <is>
          <t>2026.08.18</t>
        </is>
      </c>
      <c r="C118" s="245" t="inlineStr">
        <is>
          <t>Christie</t>
        </is>
      </c>
      <c r="D118" s="335" t="n">
        <v>280</v>
      </c>
      <c r="E118" s="335" t="n">
        <v>604</v>
      </c>
      <c r="F118" s="338">
        <f>IFERROR(D118/E118,0)</f>
        <v/>
      </c>
      <c r="G118" s="335" t="n">
        <v>1417.1</v>
      </c>
      <c r="H118" s="159" t="n">
        <v>396788</v>
      </c>
      <c r="I118" s="159" t="n">
        <v>13139</v>
      </c>
      <c r="J118" s="159" t="n">
        <v>2318</v>
      </c>
      <c r="K118" s="159" t="n">
        <v>3709</v>
      </c>
      <c r="L118" s="336">
        <f>H118+I118+J118+K118</f>
        <v/>
      </c>
    </row>
    <row r="119" ht="15.75" customHeight="1">
      <c r="A119" s="152" t="inlineStr">
        <is>
          <t>CPO705-2</t>
        </is>
      </c>
      <c r="B119" s="152" t="inlineStr">
        <is>
          <t>2026.08.18</t>
        </is>
      </c>
      <c r="C119" s="245" t="inlineStr">
        <is>
          <t>Christie</t>
        </is>
      </c>
      <c r="D119" s="335" t="n">
        <v>270</v>
      </c>
      <c r="E119" s="335" t="n">
        <v>604</v>
      </c>
      <c r="F119" s="338">
        <f>IFERROR(D119/E119,0)</f>
        <v/>
      </c>
      <c r="G119" s="335" t="n">
        <v>1417.1</v>
      </c>
      <c r="H119" s="159" t="n">
        <v>382617</v>
      </c>
      <c r="I119" s="159" t="n">
        <v>12669</v>
      </c>
      <c r="J119" s="159" t="n">
        <v>2235</v>
      </c>
      <c r="K119" s="159" t="n">
        <v>3576</v>
      </c>
      <c r="L119" s="336">
        <f>H119+I119+J119+K119</f>
        <v/>
      </c>
    </row>
    <row r="120" ht="15.75" customHeight="1">
      <c r="A120" s="152" t="inlineStr">
        <is>
          <t>GPO477</t>
        </is>
      </c>
      <c r="B120" s="152" t="inlineStr">
        <is>
          <t>2026.08.18</t>
        </is>
      </c>
      <c r="C120" s="245" t="inlineStr">
        <is>
          <t>GDC</t>
        </is>
      </c>
      <c r="D120" s="335" t="n">
        <v>1140</v>
      </c>
      <c r="E120" s="335" t="n">
        <v>1140</v>
      </c>
      <c r="F120" s="338">
        <f>IFERROR(D120/E120,0)</f>
        <v/>
      </c>
      <c r="G120" s="335" t="n">
        <v>1415.6</v>
      </c>
      <c r="H120" s="159" t="n">
        <v>1613784</v>
      </c>
      <c r="I120" s="159" t="n">
        <v>28312</v>
      </c>
      <c r="J120" s="159" t="n">
        <v>5000</v>
      </c>
      <c r="K120" s="159" t="n">
        <v>8000</v>
      </c>
      <c r="L120" s="336">
        <f>H120+I120+J120+K120</f>
        <v/>
      </c>
    </row>
    <row r="121" ht="15.75" customHeight="1">
      <c r="A121" s="152" t="inlineStr">
        <is>
          <t>CPO703</t>
        </is>
      </c>
      <c r="B121" s="152" t="inlineStr">
        <is>
          <t>2026.08.31</t>
        </is>
      </c>
      <c r="C121" s="245" t="inlineStr">
        <is>
          <t>Christie</t>
        </is>
      </c>
      <c r="D121" s="335" t="n">
        <v>5445</v>
      </c>
      <c r="E121" s="335" t="n">
        <v>34703</v>
      </c>
      <c r="F121" s="338">
        <f>IFERROR(D121/E121,0)</f>
        <v/>
      </c>
      <c r="G121" s="335" t="n">
        <v>1374.2</v>
      </c>
      <c r="H121" s="159" t="n">
        <v>7482519</v>
      </c>
      <c r="I121" s="159" t="n">
        <v>4312</v>
      </c>
      <c r="J121" s="159" t="n">
        <v>1961</v>
      </c>
      <c r="K121" s="159" t="n">
        <v>1255</v>
      </c>
      <c r="L121" s="336">
        <f>H121+I121+J121+K121</f>
        <v/>
      </c>
    </row>
    <row r="122" ht="15.75" customHeight="1">
      <c r="A122" s="152" t="inlineStr">
        <is>
          <t>CPO704</t>
        </is>
      </c>
      <c r="B122" s="152" t="inlineStr">
        <is>
          <t>2026.08.31</t>
        </is>
      </c>
      <c r="C122" s="245" t="inlineStr">
        <is>
          <t>Christie</t>
        </is>
      </c>
      <c r="D122" s="335" t="n">
        <v>29258</v>
      </c>
      <c r="E122" s="335" t="n">
        <v>34703</v>
      </c>
      <c r="F122" s="338">
        <f>IFERROR(D122/E122,0)</f>
        <v/>
      </c>
      <c r="G122" s="335" t="n">
        <v>1374.2</v>
      </c>
      <c r="H122" s="159" t="n">
        <v>40206344</v>
      </c>
      <c r="I122" s="159" t="n">
        <v>23172</v>
      </c>
      <c r="J122" s="159" t="n">
        <v>10539</v>
      </c>
      <c r="K122" s="159" t="n">
        <v>6745</v>
      </c>
      <c r="L122" s="336">
        <f>H122+I122+J122+K122</f>
        <v/>
      </c>
    </row>
    <row r="123" ht="15.75" customHeight="1">
      <c r="A123" s="152" t="inlineStr">
        <is>
          <t>MPO69</t>
        </is>
      </c>
      <c r="B123" s="152" t="inlineStr">
        <is>
          <t>2026.08.31</t>
        </is>
      </c>
      <c r="C123" s="245" t="inlineStr">
        <is>
          <t>MAG</t>
        </is>
      </c>
      <c r="D123" s="335" t="n">
        <v>17529.8</v>
      </c>
      <c r="E123" s="335" t="n">
        <v>17529.8</v>
      </c>
      <c r="F123" s="338">
        <f>IFERROR(D123/E123,0)</f>
        <v/>
      </c>
      <c r="G123" s="335" t="n">
        <v>1374.5</v>
      </c>
      <c r="H123" s="159" t="n">
        <v>24094710</v>
      </c>
      <c r="I123" s="159" t="n">
        <v>27490</v>
      </c>
      <c r="J123" s="159" t="n">
        <v>10000</v>
      </c>
      <c r="K123" s="159" t="n">
        <v>8000</v>
      </c>
      <c r="L123" s="336">
        <f>H123+I123+J123+K123</f>
        <v/>
      </c>
    </row>
    <row r="124" ht="15.75" customHeight="1">
      <c r="A124" s="152" t="inlineStr">
        <is>
          <t>GPO482</t>
        </is>
      </c>
      <c r="B124" s="152" t="inlineStr">
        <is>
          <t>2026.09.15</t>
        </is>
      </c>
      <c r="C124" s="245" t="inlineStr">
        <is>
          <t>GDC (Espedeo)</t>
        </is>
      </c>
      <c r="D124" s="335" t="n">
        <v>329510</v>
      </c>
      <c r="E124" s="335" t="n">
        <v>335110</v>
      </c>
      <c r="F124" s="338">
        <f>IFERROR(D124/E124,0)</f>
        <v/>
      </c>
      <c r="G124" s="335" t="n">
        <v>1363.2</v>
      </c>
      <c r="H124" s="159" t="n">
        <v>449188032</v>
      </c>
      <c r="I124" s="159" t="n">
        <v>26808</v>
      </c>
      <c r="J124" s="159" t="n">
        <v>12291</v>
      </c>
      <c r="K124" s="159" t="n">
        <v>7866</v>
      </c>
      <c r="L124" s="336">
        <f>H124+I124+J124+K124</f>
        <v/>
      </c>
    </row>
    <row r="125" ht="15.75" customHeight="1">
      <c r="A125" s="152" t="inlineStr">
        <is>
          <t>GPO485</t>
        </is>
      </c>
      <c r="B125" s="152" t="inlineStr">
        <is>
          <t>2026.09.15</t>
        </is>
      </c>
      <c r="C125" s="245" t="inlineStr">
        <is>
          <t>GDC (Espedeo)</t>
        </is>
      </c>
      <c r="D125" s="335" t="n">
        <v>5600</v>
      </c>
      <c r="E125" s="335" t="n">
        <v>335110</v>
      </c>
      <c r="F125" s="338">
        <f>IFERROR(D125/E125,0)</f>
        <v/>
      </c>
      <c r="G125" s="335" t="n">
        <v>1363.2</v>
      </c>
      <c r="H125" s="159" t="n">
        <v>7633920</v>
      </c>
      <c r="I125" s="159" t="n">
        <v>456</v>
      </c>
      <c r="J125" s="159" t="n">
        <v>209</v>
      </c>
      <c r="K125" s="159" t="n">
        <v>134</v>
      </c>
      <c r="L125" s="336">
        <f>H125+I125+J125+K125</f>
        <v/>
      </c>
    </row>
    <row r="126" ht="15.75" customHeight="1">
      <c r="A126" s="152" t="inlineStr">
        <is>
          <t>CPO699</t>
        </is>
      </c>
      <c r="B126" s="152" t="inlineStr">
        <is>
          <t>2026.09.15</t>
        </is>
      </c>
      <c r="C126" s="245" t="inlineStr">
        <is>
          <t>Christie</t>
        </is>
      </c>
      <c r="D126" s="335" t="n">
        <v>294546</v>
      </c>
      <c r="E126" s="335" t="n">
        <v>394546</v>
      </c>
      <c r="F126" s="338">
        <f>IFERROR(D126/E126,0)</f>
        <v/>
      </c>
      <c r="G126" s="335" t="n">
        <v>1364.1</v>
      </c>
      <c r="H126" s="159" t="n">
        <v>401790199</v>
      </c>
      <c r="I126" s="159" t="n">
        <v>20367</v>
      </c>
      <c r="J126" s="159" t="n">
        <v>9332</v>
      </c>
      <c r="K126" s="159" t="n">
        <v>5972</v>
      </c>
      <c r="L126" s="336">
        <f>H126+I126+J126+K126</f>
        <v/>
      </c>
    </row>
    <row r="127" ht="15.75" customHeight="1">
      <c r="A127" s="152" t="inlineStr">
        <is>
          <t>CPO696-4</t>
        </is>
      </c>
      <c r="B127" s="152" t="inlineStr">
        <is>
          <t>2026.09.15</t>
        </is>
      </c>
      <c r="C127" s="245" t="inlineStr">
        <is>
          <t>Christie</t>
        </is>
      </c>
      <c r="D127" s="335" t="n">
        <v>50000</v>
      </c>
      <c r="E127" s="335" t="n">
        <v>394546</v>
      </c>
      <c r="F127" s="338">
        <f>IFERROR(D127/E127,0)</f>
        <v/>
      </c>
      <c r="G127" s="335" t="n">
        <v>1364.1</v>
      </c>
      <c r="H127" s="159" t="n">
        <v>68205000</v>
      </c>
      <c r="I127" s="159" t="n">
        <v>3457</v>
      </c>
      <c r="J127" s="159" t="n">
        <v>1584</v>
      </c>
      <c r="K127" s="159" t="n">
        <v>1014</v>
      </c>
      <c r="L127" s="336">
        <f>H127+I127+J127+K127</f>
        <v/>
      </c>
    </row>
    <row r="128" ht="15.75" customHeight="1">
      <c r="A128" s="152" t="inlineStr">
        <is>
          <t>CPO696-5</t>
        </is>
      </c>
      <c r="B128" s="152" t="inlineStr">
        <is>
          <t>2026.09.15</t>
        </is>
      </c>
      <c r="C128" s="245" t="inlineStr">
        <is>
          <t>Christie</t>
        </is>
      </c>
      <c r="D128" s="335" t="n">
        <v>50000</v>
      </c>
      <c r="E128" s="335" t="n">
        <v>394546</v>
      </c>
      <c r="F128" s="338">
        <f>IFERROR(D128/E128,0)</f>
        <v/>
      </c>
      <c r="G128" s="335" t="n">
        <v>1364.1</v>
      </c>
      <c r="H128" s="159" t="n">
        <v>68205000</v>
      </c>
      <c r="I128" s="159" t="n">
        <v>3458</v>
      </c>
      <c r="J128" s="159" t="n">
        <v>1584</v>
      </c>
      <c r="K128" s="159" t="n">
        <v>1014</v>
      </c>
      <c r="L128" s="336">
        <f>H128+I128+J128+K128</f>
        <v/>
      </c>
    </row>
    <row r="129" ht="15.75" customHeight="1">
      <c r="A129" s="152" t="inlineStr">
        <is>
          <t>MPO001</t>
        </is>
      </c>
      <c r="B129" s="152" t="inlineStr">
        <is>
          <t>2026.09.15</t>
        </is>
      </c>
      <c r="C129" s="245" t="inlineStr">
        <is>
          <t>MLS</t>
        </is>
      </c>
      <c r="D129" s="335" t="n">
        <v>51928.58</v>
      </c>
      <c r="E129" s="335" t="n">
        <v>51928.58</v>
      </c>
      <c r="F129" s="338">
        <f>IFERROR(D129/E129,0)</f>
        <v/>
      </c>
      <c r="G129" s="335" t="n">
        <v>1364.2</v>
      </c>
      <c r="H129" s="159" t="n">
        <v>70840969</v>
      </c>
      <c r="I129" s="159" t="n">
        <v>27284</v>
      </c>
      <c r="J129" s="159" t="n">
        <v>12500</v>
      </c>
      <c r="K129" s="159" t="n">
        <v>8000</v>
      </c>
      <c r="L129" s="336">
        <f>H129+I129+J129+K129</f>
        <v/>
      </c>
    </row>
  </sheetData>
  <mergeCells count="2">
    <mergeCell ref="A53:L53"/>
    <mergeCell ref="A1:L1"/>
  </mergeCell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71"/>
  <sheetViews>
    <sheetView showGridLines="0" zoomScaleNormal="100" workbookViewId="0">
      <selection activeCell="H26" sqref="H26"/>
    </sheetView>
  </sheetViews>
  <sheetFormatPr baseColWidth="10" defaultColWidth="8.83203125" defaultRowHeight="17"/>
  <cols>
    <col width="10" customWidth="1" style="234" min="1" max="1"/>
    <col width="16" customWidth="1" style="234" min="2" max="3"/>
    <col width="18" customWidth="1" style="234" min="4" max="4"/>
    <col width="12" customWidth="1" style="234" min="5" max="5"/>
    <col width="32" customWidth="1" style="234" min="6" max="6"/>
    <col width="16.33203125" customWidth="1" style="234" min="7" max="8"/>
    <col width="14.83203125" customWidth="1" style="234" min="9" max="9"/>
    <col width="12" customWidth="1" style="234" min="10" max="10"/>
    <col width="16" customWidth="1" style="234" min="11" max="11"/>
    <col width="14.33203125" customWidth="1" style="234" min="12" max="12"/>
    <col width="12" customWidth="1" style="234" min="13" max="14"/>
    <col width="14" customWidth="1" style="234" min="15" max="15"/>
    <col width="12" customWidth="1" style="234" min="16" max="16"/>
    <col width="8.83203125" customWidth="1" style="234" min="17" max="22"/>
    <col width="8.83203125" customWidth="1" style="234" min="23" max="16384"/>
  </cols>
  <sheetData>
    <row r="1" ht="24" customHeight="1">
      <c r="A1" s="339" t="inlineStr">
        <is>
          <t>RNR 2026년 Usance L/C 상환 현황</t>
        </is>
      </c>
      <c r="B1" s="219" t="n"/>
      <c r="C1" s="219" t="n"/>
      <c r="D1" s="219" t="n"/>
      <c r="E1" s="219" t="n"/>
      <c r="F1" s="219" t="n"/>
      <c r="G1" s="219" t="n"/>
      <c r="H1" s="219" t="n"/>
      <c r="I1" s="219" t="n"/>
      <c r="J1" s="219" t="n"/>
      <c r="K1" s="219" t="n"/>
      <c r="L1" s="219" t="n"/>
      <c r="M1" s="219" t="n"/>
      <c r="N1" s="219" t="n"/>
      <c r="O1" s="219" t="n"/>
      <c r="P1" s="220" t="n"/>
    </row>
    <row r="2" ht="15.75" customHeight="1">
      <c r="A2" s="340" t="inlineStr">
        <is>
          <t>기준일: 2026-09-22  |  상환 완료 건은 초록색 표시  |  상환예정일 = 신한은행 PDF 만기일 기준</t>
        </is>
      </c>
    </row>
    <row r="3" ht="6" customHeight="1">
      <c r="A3" s="25" t="n"/>
      <c r="B3" s="25" t="n"/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</row>
    <row r="4" ht="18" customHeight="1">
      <c r="A4" s="341" t="inlineStr">
        <is>
          <t>&lt; 은행별 Usance L/C 한도 현황 &gt;</t>
        </is>
      </c>
    </row>
    <row r="5" ht="18" customHeight="1">
      <c r="A5" s="26" t="inlineStr">
        <is>
          <t>은행</t>
        </is>
      </c>
      <c r="B5" s="26" t="inlineStr">
        <is>
          <t>총 한도(USD)</t>
        </is>
      </c>
      <c r="C5" s="26" t="inlineStr">
        <is>
          <t>현재 오픈(USD)</t>
        </is>
      </c>
      <c r="D5" s="26" t="inlineStr">
        <is>
          <t>잔여 가용 한도(USD)</t>
        </is>
      </c>
      <c r="E5" s="26" t="inlineStr">
        <is>
          <t>활성 여부</t>
        </is>
      </c>
      <c r="F5" s="26" t="inlineStr">
        <is>
          <t>비고</t>
        </is>
      </c>
    </row>
    <row r="6" ht="18" customHeight="1">
      <c r="A6" s="27" t="inlineStr">
        <is>
          <t>신한은행</t>
        </is>
      </c>
      <c r="B6" s="28" t="n">
        <v>500000</v>
      </c>
      <c r="C6" s="28">
        <f>SUMPRODUCT((E16:E17="신한은행")*(M16:M17="")*D16:D17)</f>
        <v/>
      </c>
      <c r="D6" s="28">
        <f>B6-C6</f>
        <v/>
      </c>
      <c r="E6" s="29" t="inlineStr">
        <is>
          <t>활성</t>
        </is>
      </c>
      <c r="F6" s="30" t="inlineStr">
        <is>
          <t>LC 현재 활성 사용 중</t>
        </is>
      </c>
    </row>
    <row r="7" ht="18" customHeight="1">
      <c r="A7" s="27" t="inlineStr">
        <is>
          <t>하나은행</t>
        </is>
      </c>
      <c r="B7" s="28" t="n">
        <v>200000</v>
      </c>
      <c r="C7" s="28">
        <f>SUMPRODUCT((E16:E17="하나은행")*(M16:M17="")*D16:D17)</f>
        <v/>
      </c>
      <c r="D7" s="28">
        <f>B7-C7</f>
        <v/>
      </c>
      <c r="E7" s="29" t="inlineStr">
        <is>
          <t>활성</t>
        </is>
      </c>
      <c r="F7" s="30" t="inlineStr">
        <is>
          <t>현재 미사용</t>
        </is>
      </c>
    </row>
    <row r="8" ht="18" customHeight="1">
      <c r="A8" s="31" t="inlineStr">
        <is>
          <t>우리은행</t>
        </is>
      </c>
      <c r="B8" s="32" t="n">
        <v>700000</v>
      </c>
      <c r="C8" s="32">
        <f>SUMPRODUCT((E16:E17="우리은행")*(M16:M17="")*D16:D17)</f>
        <v/>
      </c>
      <c r="D8" s="32">
        <f>B8-C8</f>
        <v/>
      </c>
      <c r="E8" s="31" t="inlineStr">
        <is>
          <t>비활성</t>
        </is>
      </c>
      <c r="F8" s="33" t="inlineStr">
        <is>
          <t>신한·하나만 활성 (Slack 2026-03-16)</t>
        </is>
      </c>
    </row>
    <row r="9" ht="18" customHeight="1">
      <c r="A9" s="34" t="inlineStr">
        <is>
          <t>합계</t>
        </is>
      </c>
      <c r="B9" s="35">
        <f>SUM(B6:B8)</f>
        <v/>
      </c>
      <c r="C9" s="35">
        <f>SUM(C6:C8)</f>
        <v/>
      </c>
      <c r="D9" s="35">
        <f>SUM(D6:D8)</f>
        <v/>
      </c>
      <c r="E9" s="36" t="n"/>
      <c r="F9" s="36" t="n"/>
    </row>
    <row r="10" ht="18" customHeight="1">
      <c r="A10" s="342" t="inlineStr">
        <is>
          <t>※ 현재 오픈 = 미상환 L/C(상환확정일 비어있는 건)의 개설금액 합계 → 상환 시 자동 반영</t>
        </is>
      </c>
    </row>
    <row r="11" ht="18" customHeight="1">
      <c r="A11" s="342" t="inlineStr">
        <is>
          <t>출처: 총 한도 – Slack 2024-11-19 / 활성 여부 – Slack 2026-03-16 도원석</t>
        </is>
      </c>
    </row>
    <row r="12" ht="18" customHeight="1"/>
    <row r="13" ht="18" customHeight="1"/>
    <row r="14" ht="15" customHeight="1">
      <c r="A14" s="343" t="inlineStr">
        <is>
          <t>&lt; Usance L/C 현황 (상환완료 포함) &gt;</t>
        </is>
      </c>
      <c r="B14" s="219" t="n"/>
      <c r="C14" s="219" t="n"/>
      <c r="D14" s="219" t="n"/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20" t="n"/>
    </row>
    <row r="15" ht="15" customFormat="1" customHeight="1" s="51">
      <c r="A15" s="38" t="inlineStr">
        <is>
          <t>No.</t>
        </is>
      </c>
      <c r="B15" s="38" t="inlineStr">
        <is>
          <t>PO No.</t>
        </is>
      </c>
      <c r="C15" s="37" t="inlineStr">
        <is>
          <t>업체</t>
        </is>
      </c>
      <c r="D15" s="38" t="inlineStr">
        <is>
          <t>개설금액(USD)</t>
        </is>
      </c>
      <c r="E15" s="38" t="inlineStr">
        <is>
          <t>개설은행</t>
        </is>
      </c>
      <c r="F15" s="38" t="inlineStr">
        <is>
          <t>L/C No.</t>
        </is>
      </c>
      <c r="G15" s="38" t="inlineStr">
        <is>
          <t>L/C Open Date</t>
        </is>
      </c>
      <c r="H15" s="38" t="inlineStr">
        <is>
          <t>L/C Expired Date</t>
        </is>
      </c>
      <c r="I15" s="38" t="inlineStr">
        <is>
          <t>Days</t>
        </is>
      </c>
      <c r="J15" s="38" t="inlineStr">
        <is>
          <t>인수일</t>
        </is>
      </c>
      <c r="K15" s="38" t="inlineStr">
        <is>
          <t>상환예정일(만기일)</t>
        </is>
      </c>
      <c r="L15" s="38" t="inlineStr">
        <is>
          <t>D-Day</t>
        </is>
      </c>
      <c r="M15" s="38" t="inlineStr">
        <is>
          <t>상환확정일</t>
        </is>
      </c>
      <c r="N15" s="38" t="inlineStr">
        <is>
          <t>상환환율(₩)</t>
        </is>
      </c>
      <c r="O15" s="38" t="inlineStr">
        <is>
          <t>상환금액(KRW)</t>
        </is>
      </c>
      <c r="P15" s="38" t="inlineStr">
        <is>
          <t>비고</t>
        </is>
      </c>
    </row>
    <row r="16" ht="15" customHeight="1">
      <c r="A16" s="169" t="n">
        <v>1</v>
      </c>
      <c r="B16" s="169" t="inlineStr">
        <is>
          <t>CPO-672</t>
        </is>
      </c>
      <c r="C16" s="170" t="inlineStr">
        <is>
          <t>Christie</t>
        </is>
      </c>
      <c r="D16" s="171" t="n">
        <v>221868</v>
      </c>
      <c r="E16" s="169" t="inlineStr">
        <is>
          <t>신한은행</t>
        </is>
      </c>
      <c r="F16" s="169" t="inlineStr">
        <is>
          <t>M88JX2510NU00018</t>
        </is>
      </c>
      <c r="G16" s="169" t="inlineStr">
        <is>
          <t>2025-10-16</t>
        </is>
      </c>
      <c r="H16" s="169" t="inlineStr">
        <is>
          <t>2026-04-14</t>
        </is>
      </c>
      <c r="I16" s="169" t="inlineStr">
        <is>
          <t>180 Days</t>
        </is>
      </c>
      <c r="J16" s="169" t="inlineStr">
        <is>
          <t>2025-12-16</t>
        </is>
      </c>
      <c r="K16" s="169" t="inlineStr">
        <is>
          <t>2026-06-16</t>
        </is>
      </c>
      <c r="L16" s="344" t="inlineStr">
        <is>
          <t>상환완료</t>
        </is>
      </c>
      <c r="M16" s="345" t="n">
        <v>46189</v>
      </c>
      <c r="N16" s="171" t="n">
        <v>1517.25</v>
      </c>
      <c r="O16" s="174" t="n">
        <v>336629315</v>
      </c>
      <c r="P16" s="169" t="inlineStr">
        <is>
          <t>6/16 만기 상환 완료 (외국환 거래표 2026-06-16, REF M88JX2510NU00018). 원금 USD 221,868.00 → 원화 336,629,315 (적용환율 1,517.25, 은행 실제 출금액). 미결제잔액 USD 0.00, 하단 정산 명세 참조</t>
        </is>
      </c>
    </row>
    <row r="17" ht="15" customHeight="1">
      <c r="A17" s="143" t="n">
        <v>2</v>
      </c>
      <c r="B17" s="143" t="inlineStr">
        <is>
          <t>GPO-446-2</t>
        </is>
      </c>
      <c r="C17" s="144" t="inlineStr">
        <is>
          <t>GDC</t>
        </is>
      </c>
      <c r="D17" s="145" t="n">
        <v>190470</v>
      </c>
      <c r="E17" s="143" t="inlineStr">
        <is>
          <t>신한은행</t>
        </is>
      </c>
      <c r="F17" s="143" t="inlineStr">
        <is>
          <t>M88JX2511NU00018</t>
        </is>
      </c>
      <c r="G17" s="143" t="inlineStr">
        <is>
          <t>2025-11-11</t>
        </is>
      </c>
      <c r="H17" s="143" t="inlineStr">
        <is>
          <t>2026-05-10</t>
        </is>
      </c>
      <c r="I17" s="143" t="inlineStr">
        <is>
          <t>180 Days</t>
        </is>
      </c>
      <c r="J17" s="143" t="inlineStr">
        <is>
          <t>2025-12-08</t>
        </is>
      </c>
      <c r="K17" s="143" t="inlineStr">
        <is>
          <t>2026-06-09</t>
        </is>
      </c>
      <c r="L17" s="346" t="inlineStr">
        <is>
          <t>상환완료</t>
        </is>
      </c>
      <c r="M17" s="347" t="n">
        <v>46182</v>
      </c>
      <c r="N17" s="145" t="n">
        <v>1535.1</v>
      </c>
      <c r="O17" s="165" t="n">
        <v>292390497</v>
      </c>
      <c r="P17" s="143" t="inlineStr">
        <is>
          <t>6/9 만기 상환 완료 (전표 2026-06-09, 승인 402875686), 하단 정산 명세 참조</t>
        </is>
      </c>
    </row>
    <row r="18" ht="15" customHeight="1">
      <c r="A18" s="38" t="inlineStr">
        <is>
          <t>합계</t>
        </is>
      </c>
      <c r="B18" s="38" t="n"/>
      <c r="C18" s="39" t="n"/>
      <c r="D18" s="42">
        <f>SUM(D16:D17)</f>
        <v/>
      </c>
      <c r="E18" s="38" t="n"/>
      <c r="F18" s="38" t="n"/>
      <c r="G18" s="40" t="n"/>
      <c r="H18" s="40" t="n"/>
      <c r="I18" s="40" t="n"/>
      <c r="J18" s="38" t="n"/>
      <c r="K18" s="38" t="n"/>
      <c r="L18" s="38" t="n"/>
      <c r="M18" s="38" t="n"/>
      <c r="N18" s="38" t="n"/>
      <c r="O18" s="38" t="n"/>
      <c r="P18" s="38" t="n"/>
    </row>
    <row r="19" ht="15" customHeight="1">
      <c r="A19" s="43" t="n"/>
      <c r="B19" s="43" t="n"/>
      <c r="C19" s="44" t="n"/>
      <c r="D19" s="43" t="n"/>
      <c r="E19" s="43" t="n"/>
      <c r="F19" s="43" t="n"/>
      <c r="G19" s="43" t="n"/>
      <c r="H19" s="43" t="n"/>
      <c r="I19" s="43" t="n"/>
      <c r="J19" s="43" t="n"/>
      <c r="K19" s="43" t="n"/>
      <c r="L19" s="43" t="n"/>
      <c r="M19" s="43" t="n"/>
      <c r="N19" s="43" t="n"/>
      <c r="O19" s="43" t="n"/>
      <c r="P19" s="43" t="n"/>
    </row>
    <row r="20" ht="15" customHeight="1">
      <c r="A20" s="343" t="inlineStr">
        <is>
          <t>&lt; 수입/통관 정보 &gt;</t>
        </is>
      </c>
      <c r="B20" s="219" t="n"/>
      <c r="C20" s="219" t="n"/>
      <c r="D20" s="219" t="n"/>
      <c r="E20" s="219" t="n"/>
      <c r="F20" s="219" t="n"/>
      <c r="G20" s="219" t="n"/>
      <c r="H20" s="219" t="n"/>
      <c r="I20" s="219" t="n"/>
      <c r="J20" s="219" t="n"/>
      <c r="K20" s="219" t="n"/>
      <c r="L20" s="220" t="n"/>
      <c r="M20" s="25" t="n"/>
      <c r="N20" s="25" t="n"/>
      <c r="O20" s="25" t="n"/>
      <c r="P20" s="25" t="n"/>
    </row>
    <row r="21" ht="15" customFormat="1" customHeight="1" s="51">
      <c r="A21" s="38" t="inlineStr">
        <is>
          <t>PO No.</t>
        </is>
      </c>
      <c r="B21" s="38" t="inlineStr">
        <is>
          <t>수입신고번호</t>
        </is>
      </c>
      <c r="C21" s="37" t="inlineStr">
        <is>
          <t>수입신고 수리일자</t>
        </is>
      </c>
      <c r="D21" s="38" t="inlineStr">
        <is>
          <t>수입신고환율(₩)</t>
        </is>
      </c>
      <c r="E21" s="38" t="inlineStr">
        <is>
          <t>관세(KRW)</t>
        </is>
      </c>
      <c r="F21" s="38" t="inlineStr">
        <is>
          <t>부가세(KRW)</t>
        </is>
      </c>
      <c r="G21" s="38" t="inlineStr">
        <is>
          <t>관부가세 지급일</t>
        </is>
      </c>
      <c r="H21" s="38" t="inlineStr">
        <is>
          <t>관세사</t>
        </is>
      </c>
      <c r="I21" s="38" t="inlineStr">
        <is>
          <t>관세사비(KRW)</t>
        </is>
      </c>
      <c r="J21" s="38" t="inlineStr">
        <is>
          <t>운송사</t>
        </is>
      </c>
      <c r="K21" s="38" t="inlineStr">
        <is>
          <t>운송료(KRW)</t>
        </is>
      </c>
      <c r="L21" s="38" t="inlineStr">
        <is>
          <t>해외수수료(USD)</t>
        </is>
      </c>
      <c r="M21" s="43" t="n"/>
      <c r="N21" s="43" t="n"/>
      <c r="O21" s="43" t="n"/>
      <c r="P21" s="43" t="n"/>
    </row>
    <row r="22" ht="15" customHeight="1">
      <c r="A22" s="41" t="inlineStr">
        <is>
          <t>CPO-672</t>
        </is>
      </c>
      <c r="B22" s="41" t="inlineStr">
        <is>
          <t>1421425100608M</t>
        </is>
      </c>
      <c r="C22" s="52" t="inlineStr">
        <is>
          <t>2025-10-30</t>
        </is>
      </c>
      <c r="D22" s="348" t="n">
        <v>1433</v>
      </c>
      <c r="E22" s="46" t="n">
        <v>83050</v>
      </c>
      <c r="F22" s="46" t="n">
        <v>31860000</v>
      </c>
      <c r="G22" s="41" t="n"/>
      <c r="H22" s="41" t="inlineStr">
        <is>
          <t>아인관세사</t>
        </is>
      </c>
      <c r="I22" s="46" t="n">
        <v>667034</v>
      </c>
      <c r="J22" s="41" t="inlineStr">
        <is>
          <t>진로직스</t>
        </is>
      </c>
      <c r="K22" s="46" t="n">
        <v>2733444</v>
      </c>
      <c r="L22" s="47" t="n">
        <v>6124.77</v>
      </c>
      <c r="M22" s="43" t="n"/>
      <c r="N22" s="43" t="n"/>
      <c r="O22" s="43" t="n"/>
      <c r="P22" s="43" t="n"/>
    </row>
    <row r="23" ht="15" customHeight="1">
      <c r="A23" s="41" t="inlineStr">
        <is>
          <t>GPO-446-2</t>
        </is>
      </c>
      <c r="B23" s="41" t="inlineStr">
        <is>
          <t>1421425100667M</t>
        </is>
      </c>
      <c r="C23" s="52" t="inlineStr">
        <is>
          <t>2025-11-19</t>
        </is>
      </c>
      <c r="D23" s="348" t="n">
        <v>1465.2</v>
      </c>
      <c r="E23" s="46" t="n">
        <v>0</v>
      </c>
      <c r="F23" s="46" t="n">
        <v>28259850</v>
      </c>
      <c r="G23" s="41" t="inlineStr">
        <is>
          <t>2025-12-04</t>
        </is>
      </c>
      <c r="H23" s="41" t="inlineStr">
        <is>
          <t>아인관세사</t>
        </is>
      </c>
      <c r="I23" s="46" t="n">
        <v>595197</v>
      </c>
      <c r="J23" s="41" t="inlineStr">
        <is>
          <t>진로직스</t>
        </is>
      </c>
      <c r="K23" s="46" t="n">
        <v>4553880</v>
      </c>
      <c r="L23" s="47" t="n">
        <v>5310.14</v>
      </c>
      <c r="M23" s="43" t="n"/>
      <c r="N23" s="43" t="n"/>
      <c r="O23" s="43" t="n"/>
      <c r="P23" s="43" t="n"/>
    </row>
    <row r="24" ht="15" customHeight="1">
      <c r="A24" s="43" t="n"/>
      <c r="B24" s="43" t="n"/>
      <c r="C24" s="44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</row>
    <row r="25" ht="15" customHeight="1">
      <c r="A25" s="148" t="inlineStr">
        <is>
          <t>&lt; GPO-446-2 상환 정산 및 수수료 명세 (신한은행, 출처: 은행 수수료 내역서 2026-06-09 조회) &gt;</t>
        </is>
      </c>
      <c r="B25" s="43" t="n"/>
      <c r="C25" s="44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</row>
    <row r="26" ht="15" customHeight="1">
      <c r="A26" s="149" t="inlineStr">
        <is>
          <t>상환일</t>
        </is>
      </c>
      <c r="B26" s="149" t="inlineStr">
        <is>
          <t>상환원금(USD)</t>
        </is>
      </c>
      <c r="C26" s="149" t="inlineStr">
        <is>
          <t>상환환율(₩)</t>
        </is>
      </c>
      <c r="D26" s="149" t="inlineStr">
        <is>
          <t>상환금액(KRW)</t>
        </is>
      </c>
      <c r="E26" s="149" t="inlineStr">
        <is>
          <t>L/C No.</t>
        </is>
      </c>
      <c r="F26" s="149" t="inlineStr">
        <is>
          <t>회계처리(권장)</t>
        </is>
      </c>
      <c r="G26" s="43" t="n"/>
      <c r="H26" s="43" t="n"/>
      <c r="I26" s="43" t="n"/>
      <c r="J26" s="43" t="n"/>
      <c r="K26" s="43" t="n"/>
      <c r="L26" s="43" t="n"/>
      <c r="M26" s="43" t="n"/>
      <c r="N26" s="43" t="n"/>
      <c r="O26" s="43" t="n"/>
      <c r="P26" s="43" t="n"/>
    </row>
    <row r="27" ht="15" customHeight="1">
      <c r="A27" s="247" t="n">
        <v>46182</v>
      </c>
      <c r="B27" s="151" t="n">
        <v>190470</v>
      </c>
      <c r="C27" s="151" t="n">
        <v>1535.1</v>
      </c>
      <c r="D27" s="159" t="n">
        <v>292390497</v>
      </c>
      <c r="E27" s="152" t="inlineStr">
        <is>
          <t>M88JX2511NU00018</t>
        </is>
      </c>
      <c r="F27" s="153" t="inlineStr">
        <is>
          <t>차변 외화매입채무(USANCE) 190,470 USD 제거 + 외환차손익, 대변 보통예금 292,390,497</t>
        </is>
      </c>
      <c r="G27" s="49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</row>
    <row r="28" ht="15" customHeight="1">
      <c r="A28" s="43" t="n"/>
      <c r="B28" s="43" t="n"/>
      <c r="C28" s="44" t="n"/>
      <c r="D28" s="43" t="n"/>
      <c r="E28" s="43" t="n"/>
      <c r="F28" s="48" t="n"/>
      <c r="G28" s="49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</row>
    <row r="29" ht="15" customHeight="1">
      <c r="A29" s="149" t="inlineStr">
        <is>
          <t>No</t>
        </is>
      </c>
      <c r="B29" s="149" t="inlineStr">
        <is>
          <t>징수일</t>
        </is>
      </c>
      <c r="C29" s="149" t="inlineStr">
        <is>
          <t>수수료 구분</t>
        </is>
      </c>
      <c r="D29" s="149" t="inlineStr">
        <is>
          <t>이율(%)</t>
        </is>
      </c>
      <c r="E29" s="149" t="inlineStr">
        <is>
          <t>수수료 기간</t>
        </is>
      </c>
      <c r="F29" s="154" t="inlineStr">
        <is>
          <t>일수</t>
        </is>
      </c>
      <c r="G29" s="155" t="inlineStr">
        <is>
          <t>대상금액(USD)</t>
        </is>
      </c>
      <c r="H29" s="149" t="inlineStr">
        <is>
          <t>USD 상당액</t>
        </is>
      </c>
      <c r="I29" s="149" t="inlineStr">
        <is>
          <t>징수액(KRW)</t>
        </is>
      </c>
      <c r="J29" s="149" t="inlineStr">
        <is>
          <t>회계처리(권장)</t>
        </is>
      </c>
      <c r="K29" s="43" t="n"/>
      <c r="L29" s="43" t="n"/>
      <c r="M29" s="43" t="n"/>
      <c r="N29" s="43" t="n"/>
      <c r="O29" s="43" t="n"/>
      <c r="P29" s="43" t="n"/>
    </row>
    <row r="30" ht="15" customHeight="1">
      <c r="A30" s="152" t="n">
        <v>1</v>
      </c>
      <c r="B30" s="247" t="n">
        <v>45971</v>
      </c>
      <c r="C30" s="156" t="inlineStr">
        <is>
          <t>수입신용장 기간수수료(발행수수료, 360일 단위)</t>
        </is>
      </c>
      <c r="D30" s="349" t="n">
        <v>0.8</v>
      </c>
      <c r="E30" s="152" t="inlineStr">
        <is>
          <t>2025-11-10 ~ 2025-12-26</t>
        </is>
      </c>
      <c r="F30" s="158" t="n">
        <v>47</v>
      </c>
      <c r="G30" s="151" t="n">
        <v>190470</v>
      </c>
      <c r="H30" s="151" t="n">
        <v>198.94</v>
      </c>
      <c r="I30" s="159" t="n">
        <v>289132</v>
      </c>
      <c r="J30" s="152" t="inlineStr">
        <is>
          <t>지급수수료</t>
        </is>
      </c>
      <c r="K30" s="43" t="n"/>
      <c r="L30" s="43" t="n"/>
      <c r="M30" s="43" t="n"/>
      <c r="N30" s="43" t="n"/>
      <c r="O30" s="43" t="n"/>
      <c r="P30" s="43" t="n"/>
    </row>
    <row r="31" ht="15" customHeight="1">
      <c r="A31" s="152" t="n">
        <v>2</v>
      </c>
      <c r="B31" s="247" t="n">
        <v>45971</v>
      </c>
      <c r="C31" s="156" t="inlineStr">
        <is>
          <t>전신료(일반신용장 USANCE)</t>
        </is>
      </c>
      <c r="D31" s="349" t="n"/>
      <c r="E31" s="152" t="n"/>
      <c r="F31" s="158" t="n">
        <v>0</v>
      </c>
      <c r="G31" s="151" t="n"/>
      <c r="H31" s="151" t="n"/>
      <c r="I31" s="159" t="n">
        <v>13750</v>
      </c>
      <c r="J31" s="152" t="inlineStr">
        <is>
          <t>지급수수료</t>
        </is>
      </c>
      <c r="K31" s="43" t="n"/>
      <c r="L31" s="43" t="n"/>
      <c r="M31" s="43" t="n"/>
      <c r="N31" s="43" t="n"/>
      <c r="O31" s="43" t="n"/>
      <c r="P31" s="43" t="n"/>
    </row>
    <row r="32" ht="15" customHeight="1">
      <c r="A32" s="152" t="n">
        <v>3</v>
      </c>
      <c r="B32" s="247" t="n">
        <v>45980</v>
      </c>
      <c r="C32" s="156" t="inlineStr">
        <is>
          <t>수입화물선취보증서(L/G) 발급수수료</t>
        </is>
      </c>
      <c r="D32" s="349" t="n"/>
      <c r="E32" s="152" t="n"/>
      <c r="F32" s="158" t="n">
        <v>0</v>
      </c>
      <c r="G32" s="151" t="n"/>
      <c r="H32" s="151" t="n"/>
      <c r="I32" s="159" t="n">
        <v>5000</v>
      </c>
      <c r="J32" s="152" t="inlineStr">
        <is>
          <t>지급수수료</t>
        </is>
      </c>
      <c r="K32" s="43" t="n"/>
      <c r="L32" s="43" t="n"/>
      <c r="M32" s="43" t="n"/>
      <c r="N32" s="43" t="n"/>
      <c r="O32" s="43" t="n"/>
      <c r="P32" s="43" t="n"/>
    </row>
    <row r="33" ht="15" customHeight="1">
      <c r="A33" s="152" t="n">
        <v>4</v>
      </c>
      <c r="B33" s="247" t="n">
        <v>45999</v>
      </c>
      <c r="C33" s="156" t="inlineStr">
        <is>
          <t>수입화물선취보증료(외화)</t>
        </is>
      </c>
      <c r="D33" s="349" t="n">
        <v>3</v>
      </c>
      <c r="E33" s="152" t="inlineStr">
        <is>
          <t>2025-11-19 ~ 2025-12-07</t>
        </is>
      </c>
      <c r="F33" s="158" t="n">
        <v>19</v>
      </c>
      <c r="G33" s="151" t="n">
        <v>190470</v>
      </c>
      <c r="H33" s="151" t="n">
        <v>301.58</v>
      </c>
      <c r="I33" s="159" t="n">
        <v>442866</v>
      </c>
      <c r="J33" s="152" t="inlineStr">
        <is>
          <t>지급수수료</t>
        </is>
      </c>
      <c r="K33" s="43" t="n"/>
      <c r="L33" s="43" t="n"/>
      <c r="M33" s="43" t="n"/>
      <c r="N33" s="43" t="n"/>
      <c r="O33" s="43" t="n"/>
      <c r="P33" s="43" t="n"/>
    </row>
    <row r="34" ht="15" customHeight="1">
      <c r="A34" s="152" t="n">
        <v>5</v>
      </c>
      <c r="B34" s="247" t="n">
        <v>45999</v>
      </c>
      <c r="C34" s="156" t="inlineStr">
        <is>
          <t>수입인수수수료(360일 단위)</t>
        </is>
      </c>
      <c r="D34" s="349" t="n">
        <v>1.2</v>
      </c>
      <c r="E34" s="152" t="inlineStr">
        <is>
          <t>2025-12-08 ~ 2026-05-31</t>
        </is>
      </c>
      <c r="F34" s="158" t="n">
        <v>175</v>
      </c>
      <c r="G34" s="151" t="n">
        <v>190470</v>
      </c>
      <c r="H34" s="151" t="n">
        <v>1111.08</v>
      </c>
      <c r="I34" s="159" t="n">
        <v>1631613</v>
      </c>
      <c r="J34" s="152" t="inlineStr">
        <is>
          <t>이자비용</t>
        </is>
      </c>
      <c r="K34" s="43" t="n"/>
      <c r="L34" s="43" t="n"/>
      <c r="M34" s="43" t="n"/>
      <c r="N34" s="43" t="n"/>
      <c r="O34" s="43" t="n"/>
      <c r="P34" s="43" t="n"/>
    </row>
    <row r="35" ht="15" customHeight="1">
      <c r="A35" s="152" t="n">
        <v>6</v>
      </c>
      <c r="B35" s="247" t="n">
        <v>45999</v>
      </c>
      <c r="C35" s="156" t="inlineStr">
        <is>
          <t>수입기간수수료 환급(-)</t>
        </is>
      </c>
      <c r="D35" s="349" t="n">
        <v>0.8</v>
      </c>
      <c r="E35" s="152" t="inlineStr">
        <is>
          <t>2025-12-08 ~ 2025-12-26</t>
        </is>
      </c>
      <c r="F35" s="158" t="n">
        <v>19</v>
      </c>
      <c r="G35" s="151" t="n">
        <v>190470</v>
      </c>
      <c r="H35" s="151" t="n">
        <v>-80.42</v>
      </c>
      <c r="I35" s="159" t="n">
        <v>-116883</v>
      </c>
      <c r="J35" s="152" t="inlineStr">
        <is>
          <t>지급수수료 차감</t>
        </is>
      </c>
      <c r="K35" s="43" t="n"/>
      <c r="L35" s="43" t="n"/>
      <c r="M35" s="43" t="n"/>
      <c r="N35" s="43" t="n"/>
      <c r="O35" s="43" t="n"/>
      <c r="P35" s="43" t="n"/>
    </row>
    <row r="36" ht="15" customHeight="1">
      <c r="A36" s="152" t="n">
        <v>7</v>
      </c>
      <c r="B36" s="247" t="n">
        <v>46182</v>
      </c>
      <c r="C36" s="156" t="inlineStr">
        <is>
          <t>수입인수수수료(만기연장 8일분)</t>
        </is>
      </c>
      <c r="D36" s="349" t="n">
        <v>1.2</v>
      </c>
      <c r="E36" s="152" t="inlineStr">
        <is>
          <t>2026-06-01 ~ 2026-06-08</t>
        </is>
      </c>
      <c r="F36" s="158" t="n">
        <v>8</v>
      </c>
      <c r="G36" s="151" t="n">
        <v>190470</v>
      </c>
      <c r="H36" s="151" t="n">
        <v>50.79</v>
      </c>
      <c r="I36" s="159" t="n">
        <v>77732</v>
      </c>
      <c r="J36" s="152" t="inlineStr">
        <is>
          <t>이자비용</t>
        </is>
      </c>
      <c r="K36" s="43" t="n"/>
      <c r="L36" s="43" t="n"/>
      <c r="M36" s="43" t="n"/>
      <c r="N36" s="43" t="n"/>
      <c r="O36" s="43" t="n"/>
      <c r="P36" s="43" t="n"/>
    </row>
    <row r="37" ht="15" customHeight="1">
      <c r="A37" s="152" t="n">
        <v>8</v>
      </c>
      <c r="B37" s="247" t="n">
        <v>46182</v>
      </c>
      <c r="C37" s="156" t="inlineStr">
        <is>
          <t>지체료 (인수수수료 연체이자 7%, 8일)</t>
        </is>
      </c>
      <c r="D37" s="349" t="n">
        <v>7</v>
      </c>
      <c r="E37" s="152" t="inlineStr">
        <is>
          <t>2026-06-01 ~ 2026-06-08</t>
        </is>
      </c>
      <c r="F37" s="158" t="n">
        <v>8</v>
      </c>
      <c r="G37" s="151" t="n"/>
      <c r="H37" s="151" t="n"/>
      <c r="I37" s="159" t="n">
        <v>119</v>
      </c>
      <c r="J37" s="152" t="inlineStr">
        <is>
          <t>이자비용</t>
        </is>
      </c>
      <c r="K37" s="43" t="n"/>
      <c r="L37" s="43" t="n"/>
      <c r="M37" s="43" t="n"/>
      <c r="N37" s="43" t="n"/>
      <c r="O37" s="43" t="n"/>
      <c r="P37" s="43" t="n"/>
    </row>
    <row r="38" ht="15" customHeight="1">
      <c r="A38" s="152" t="n">
        <v>9</v>
      </c>
      <c r="B38" s="247" t="n">
        <v>46182</v>
      </c>
      <c r="C38" s="156" t="inlineStr">
        <is>
          <t>해외수수료 (해외은행 인수금융 이자 5.57788%, 180일)</t>
        </is>
      </c>
      <c r="D38" s="350" t="n">
        <v>5.57788</v>
      </c>
      <c r="E38" s="152" t="inlineStr">
        <is>
          <t>2025-12-11 ~ 2026-06-09</t>
        </is>
      </c>
      <c r="F38" s="158" t="n">
        <v>180</v>
      </c>
      <c r="G38" s="151" t="n">
        <v>190400</v>
      </c>
      <c r="H38" s="151" t="n">
        <v>5310.14</v>
      </c>
      <c r="I38" s="159" t="n">
        <v>8154250</v>
      </c>
      <c r="J38" s="152" t="inlineStr">
        <is>
          <t>이자비용</t>
        </is>
      </c>
      <c r="K38" s="43" t="n"/>
      <c r="L38" s="43" t="n"/>
      <c r="M38" s="43" t="n"/>
      <c r="N38" s="43" t="n"/>
      <c r="O38" s="43" t="n"/>
      <c r="P38" s="43" t="n"/>
    </row>
    <row r="39" ht="15" customHeight="1">
      <c r="A39" s="149" t="inlineStr">
        <is>
          <t>합계</t>
        </is>
      </c>
      <c r="B39" s="160" t="n"/>
      <c r="C39" s="161" t="n"/>
      <c r="D39" s="160" t="n"/>
      <c r="E39" s="160" t="n"/>
      <c r="F39" s="160" t="n"/>
      <c r="G39" s="162" t="n"/>
      <c r="H39" s="163" t="n">
        <v>6892.11</v>
      </c>
      <c r="I39" s="164" t="n">
        <v>10497579</v>
      </c>
      <c r="J39" s="149" t="inlineStr">
        <is>
          <t>이자비용 9,863,714 + 지급수수료 633,865</t>
        </is>
      </c>
      <c r="K39" s="43" t="n"/>
      <c r="L39" s="43" t="n"/>
      <c r="M39" s="43" t="n"/>
      <c r="N39" s="43" t="n"/>
      <c r="O39" s="43" t="n"/>
      <c r="P39" s="43" t="n"/>
    </row>
    <row r="40" ht="15" customHeight="1">
      <c r="A40" s="167" t="inlineStr">
        <is>
          <t>주1: USD 상당액 = 대상금액 x 이율 x 일수/360 (전신료, 발급수수료, 지체료는 KRW 정액 또는 KRW 기준 산출)</t>
        </is>
      </c>
      <c r="B40" s="43" t="n"/>
      <c r="C40" s="44" t="n"/>
      <c r="D40" s="43" t="n"/>
      <c r="E40" s="43" t="n"/>
      <c r="F40" s="43" t="n"/>
      <c r="G40" s="49" t="n"/>
      <c r="H40" s="43" t="n"/>
      <c r="I40" s="43" t="n"/>
      <c r="J40" s="43" t="n"/>
      <c r="K40" s="43" t="n"/>
      <c r="L40" s="43" t="n"/>
      <c r="M40" s="43" t="n"/>
      <c r="N40" s="43" t="n"/>
      <c r="O40" s="43" t="n"/>
      <c r="P40" s="43" t="n"/>
    </row>
    <row r="41" ht="15" customHeight="1">
      <c r="A41" s="167" t="inlineStr">
        <is>
          <t>주2: No.1~6 수수료는 징수일에 KRW 기징수, No.7~9는 상환일(6/9) 출금. 회계처리는 각 징수일자 전표로 계상</t>
        </is>
      </c>
      <c r="B41" s="43" t="n"/>
      <c r="C41" s="44" t="n"/>
      <c r="D41" s="43" t="n"/>
      <c r="E41" s="43" t="n"/>
      <c r="F41" s="43" t="n"/>
      <c r="G41" s="49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</row>
    <row r="42" ht="15.75" customHeight="1">
      <c r="A42" s="168" t="inlineStr">
        <is>
          <t>주3: 원금 상환 확정 (외국환 거래계산서 2026-06-09, 승인번호 402875686, REF M88JX2511NU00018): 원금 USD 190,470.00 x 1,535.10 = 292,390,497원</t>
        </is>
      </c>
    </row>
    <row r="43" ht="15.75" customHeight="1">
      <c r="A43" s="168" t="inlineStr">
        <is>
          <t>주4: 6/9 실제 출금 합계 300,622,598원 = 원금분 292,468,348 (원금 + 인수수수료 77,732 + 지체료 119) + 해외수수료분 8,154,250</t>
        </is>
      </c>
    </row>
    <row r="44" ht="15.75" customHeight="1"/>
    <row r="45" ht="15.75" customHeight="1">
      <c r="A45" s="148" t="inlineStr">
        <is>
          <t>&lt; CPO-672 상환 정산 및 수수료 명세 (신한은행, 출처: 은행 수수료/인도 내역서 2026-06-16) &gt;</t>
        </is>
      </c>
      <c r="B45" s="43" t="n"/>
      <c r="C45" s="44" t="n"/>
      <c r="D45" s="43" t="n"/>
      <c r="E45" s="43" t="n"/>
      <c r="F45" s="43" t="n"/>
      <c r="G45" s="43" t="n"/>
      <c r="H45" s="43" t="n"/>
      <c r="I45" s="43" t="n"/>
      <c r="J45" s="43" t="n"/>
    </row>
    <row r="46" ht="15.75" customHeight="1">
      <c r="A46" s="149" t="inlineStr">
        <is>
          <t>상환일</t>
        </is>
      </c>
      <c r="B46" s="149" t="inlineStr">
        <is>
          <t>상환원금(USD)</t>
        </is>
      </c>
      <c r="C46" s="149" t="inlineStr">
        <is>
          <t>상환환율(₩)</t>
        </is>
      </c>
      <c r="D46" s="149" t="inlineStr">
        <is>
          <t>상환금액(KRW)</t>
        </is>
      </c>
      <c r="E46" s="149" t="inlineStr">
        <is>
          <t>L/C No.</t>
        </is>
      </c>
      <c r="F46" s="149" t="inlineStr">
        <is>
          <t>회계처리(권장)</t>
        </is>
      </c>
      <c r="G46" s="43" t="n"/>
      <c r="H46" s="43" t="n"/>
      <c r="I46" s="43" t="n"/>
      <c r="J46" s="43" t="n"/>
    </row>
    <row r="47" ht="15.75" customHeight="1">
      <c r="A47" s="247" t="n">
        <v>46189</v>
      </c>
      <c r="B47" s="151" t="n">
        <v>221868</v>
      </c>
      <c r="C47" s="151" t="n">
        <v>1517.25</v>
      </c>
      <c r="D47" s="159" t="n">
        <v>336629315</v>
      </c>
      <c r="E47" s="152" t="inlineStr">
        <is>
          <t>M88JX2510NU00018</t>
        </is>
      </c>
      <c r="F47" s="153" t="inlineStr">
        <is>
          <t>차변 외화매입채무(USANCE) 221,868 USD 제거 + 외환차손익, 대변 보통예금 336,629,315</t>
        </is>
      </c>
      <c r="G47" s="49" t="n"/>
      <c r="H47" s="43" t="n"/>
      <c r="I47" s="43" t="n"/>
      <c r="J47" s="43" t="n"/>
    </row>
    <row r="48" ht="15.75" customHeight="1">
      <c r="A48" s="43" t="n"/>
      <c r="B48" s="43" t="n"/>
      <c r="C48" s="44" t="n"/>
      <c r="D48" s="43" t="n"/>
      <c r="E48" s="43" t="n"/>
      <c r="F48" s="48" t="n"/>
      <c r="G48" s="49" t="n"/>
      <c r="H48" s="43" t="n"/>
      <c r="I48" s="43" t="n"/>
      <c r="J48" s="43" t="n"/>
    </row>
    <row r="49" ht="15.75" customHeight="1">
      <c r="A49" s="149" t="inlineStr">
        <is>
          <t>No</t>
        </is>
      </c>
      <c r="B49" s="149" t="inlineStr">
        <is>
          <t>징수일</t>
        </is>
      </c>
      <c r="C49" s="149" t="inlineStr">
        <is>
          <t>수수료 구분</t>
        </is>
      </c>
      <c r="D49" s="149" t="inlineStr">
        <is>
          <t>이율(%)</t>
        </is>
      </c>
      <c r="E49" s="149" t="inlineStr">
        <is>
          <t>수수료 기간</t>
        </is>
      </c>
      <c r="F49" s="154" t="inlineStr">
        <is>
          <t>일수</t>
        </is>
      </c>
      <c r="G49" s="155" t="inlineStr">
        <is>
          <t>대상금액(USD)</t>
        </is>
      </c>
      <c r="H49" s="149" t="inlineStr">
        <is>
          <t>USD 상당액</t>
        </is>
      </c>
      <c r="I49" s="149" t="inlineStr">
        <is>
          <t>징수액(KRW)</t>
        </is>
      </c>
      <c r="J49" s="149" t="inlineStr">
        <is>
          <t>회계처리(권장)</t>
        </is>
      </c>
    </row>
    <row r="50" ht="15.75" customHeight="1">
      <c r="A50" s="152" t="n">
        <v>1</v>
      </c>
      <c r="B50" s="247" t="n">
        <v>45946</v>
      </c>
      <c r="C50" s="156" t="inlineStr">
        <is>
          <t>수입신용장 기간수수료(발행수수료, 360일 단위)</t>
        </is>
      </c>
      <c r="D50" s="349" t="n">
        <v>0.8</v>
      </c>
      <c r="E50" s="152" t="inlineStr">
        <is>
          <t>2025-10-16 ~ 2025-12-19</t>
        </is>
      </c>
      <c r="F50" s="158" t="n">
        <v>65</v>
      </c>
      <c r="G50" s="151" t="n">
        <v>221868</v>
      </c>
      <c r="H50" s="151" t="n">
        <v>320.46</v>
      </c>
      <c r="I50" s="159" t="n">
        <v>454691</v>
      </c>
      <c r="J50" s="152" t="inlineStr">
        <is>
          <t>지급수수료</t>
        </is>
      </c>
    </row>
    <row r="51" ht="15.75" customHeight="1">
      <c r="A51" s="152" t="n">
        <v>2</v>
      </c>
      <c r="B51" s="247" t="n">
        <v>45946</v>
      </c>
      <c r="C51" s="156" t="inlineStr">
        <is>
          <t>전신료(일반신용장 USANCE)</t>
        </is>
      </c>
      <c r="D51" s="349" t="n"/>
      <c r="E51" s="152" t="n"/>
      <c r="F51" s="158" t="n">
        <v>0</v>
      </c>
      <c r="G51" s="151" t="n"/>
      <c r="H51" s="151" t="n"/>
      <c r="I51" s="159" t="n">
        <v>13750</v>
      </c>
      <c r="J51" s="152" t="inlineStr">
        <is>
          <t>지급수수료</t>
        </is>
      </c>
    </row>
    <row r="52" ht="15.75" customHeight="1">
      <c r="A52" s="152" t="n">
        <v>3</v>
      </c>
      <c r="B52" s="247" t="n">
        <v>45961</v>
      </c>
      <c r="C52" s="156" t="inlineStr">
        <is>
          <t>수입화물선취보증서(L/G) 발급수수료</t>
        </is>
      </c>
      <c r="D52" s="349" t="n"/>
      <c r="E52" s="152" t="n"/>
      <c r="F52" s="158" t="n">
        <v>0</v>
      </c>
      <c r="G52" s="151" t="n"/>
      <c r="H52" s="151" t="n"/>
      <c r="I52" s="159" t="n">
        <v>5000</v>
      </c>
      <c r="J52" s="152" t="inlineStr">
        <is>
          <t>지급수수료</t>
        </is>
      </c>
    </row>
    <row r="53" ht="15.75" customHeight="1">
      <c r="A53" s="152" t="n">
        <v>4</v>
      </c>
      <c r="B53" s="247" t="n">
        <v>46007</v>
      </c>
      <c r="C53" s="156" t="inlineStr">
        <is>
          <t>수입화물선취보증료(외화)</t>
        </is>
      </c>
      <c r="D53" s="349" t="n">
        <v>3</v>
      </c>
      <c r="E53" s="152" t="inlineStr">
        <is>
          <t>2025-10-31 ~ 2025-12-15</t>
        </is>
      </c>
      <c r="F53" s="158" t="n">
        <v>46</v>
      </c>
      <c r="G53" s="151" t="n">
        <v>221868</v>
      </c>
      <c r="H53" s="151" t="n">
        <v>850.55</v>
      </c>
      <c r="I53" s="159" t="n">
        <v>1255244</v>
      </c>
      <c r="J53" s="152" t="inlineStr">
        <is>
          <t>지급수수료</t>
        </is>
      </c>
    </row>
    <row r="54" ht="15.75" customHeight="1">
      <c r="A54" s="152" t="n">
        <v>5</v>
      </c>
      <c r="B54" s="247" t="n">
        <v>46007</v>
      </c>
      <c r="C54" s="156" t="inlineStr">
        <is>
          <t>수입인수수수료(360일 단위)</t>
        </is>
      </c>
      <c r="D54" s="349" t="n">
        <v>1.2</v>
      </c>
      <c r="E54" s="152" t="inlineStr">
        <is>
          <t>2025-12-16 ~ 2026-06-14</t>
        </is>
      </c>
      <c r="F54" s="158" t="n">
        <v>181</v>
      </c>
      <c r="G54" s="151" t="n">
        <v>221868</v>
      </c>
      <c r="H54" s="151" t="n">
        <v>1338.62</v>
      </c>
      <c r="I54" s="159" t="n">
        <v>1975645</v>
      </c>
      <c r="J54" s="152" t="inlineStr">
        <is>
          <t>이자비용</t>
        </is>
      </c>
    </row>
    <row r="55" ht="15.75" customHeight="1">
      <c r="A55" s="152" t="n">
        <v>6</v>
      </c>
      <c r="B55" s="247" t="n">
        <v>46007</v>
      </c>
      <c r="C55" s="156" t="inlineStr">
        <is>
          <t>수입기간수수료 환급(-)</t>
        </is>
      </c>
      <c r="D55" s="349" t="n">
        <v>0.8</v>
      </c>
      <c r="E55" s="152" t="inlineStr">
        <is>
          <t>2025-12-16 ~ 2025-12-19</t>
        </is>
      </c>
      <c r="F55" s="158" t="n">
        <v>4</v>
      </c>
      <c r="G55" s="151" t="n">
        <v>221868</v>
      </c>
      <c r="H55" s="151" t="n">
        <v>-19.72</v>
      </c>
      <c r="I55" s="159" t="n">
        <v>-27981</v>
      </c>
      <c r="J55" s="152" t="inlineStr">
        <is>
          <t>지급수수료 차감</t>
        </is>
      </c>
    </row>
    <row r="56" ht="15.75" customHeight="1">
      <c r="A56" s="152" t="n">
        <v>7</v>
      </c>
      <c r="B56" s="247" t="n">
        <v>46189</v>
      </c>
      <c r="C56" s="156" t="inlineStr">
        <is>
          <t>수입인수수수료(만기연장 1일분)</t>
        </is>
      </c>
      <c r="D56" s="349" t="n">
        <v>1.2</v>
      </c>
      <c r="E56" s="152" t="inlineStr">
        <is>
          <t>2026-06-15 ~ 2026-06-15</t>
        </is>
      </c>
      <c r="F56" s="158" t="n">
        <v>1</v>
      </c>
      <c r="G56" s="151" t="n">
        <v>221868</v>
      </c>
      <c r="H56" s="151" t="n">
        <v>7.4</v>
      </c>
      <c r="I56" s="159" t="n">
        <v>11186</v>
      </c>
      <c r="J56" s="152" t="inlineStr">
        <is>
          <t>이자비용</t>
        </is>
      </c>
    </row>
    <row r="57" ht="15.75" customHeight="1">
      <c r="A57" s="152" t="n">
        <v>8</v>
      </c>
      <c r="B57" s="247" t="n">
        <v>46189</v>
      </c>
      <c r="C57" s="156" t="inlineStr">
        <is>
          <t>해외수수료(해외은행 인수금융 이자)</t>
        </is>
      </c>
      <c r="D57" s="349" t="n"/>
      <c r="E57" s="152" t="inlineStr">
        <is>
          <t>2025-12-19 인도 ~ 2026-06-16</t>
        </is>
      </c>
      <c r="F57" s="158" t="n">
        <v>180</v>
      </c>
      <c r="G57" s="151" t="n">
        <v>221868</v>
      </c>
      <c r="H57" s="151" t="n">
        <v>6124.77</v>
      </c>
      <c r="I57" s="159" t="n">
        <v>9292540</v>
      </c>
      <c r="J57" s="152" t="inlineStr">
        <is>
          <t>이자비용</t>
        </is>
      </c>
    </row>
    <row r="58" ht="15.75" customHeight="1">
      <c r="A58" s="149" t="inlineStr">
        <is>
          <t>합계</t>
        </is>
      </c>
      <c r="B58" s="160" t="n"/>
      <c r="C58" s="161" t="n"/>
      <c r="D58" s="160" t="n"/>
      <c r="E58" s="160" t="n"/>
      <c r="F58" s="160" t="n"/>
      <c r="G58" s="162" t="n"/>
      <c r="H58" s="163" t="n">
        <v>8622.08</v>
      </c>
      <c r="I58" s="164" t="n">
        <v>12980075</v>
      </c>
      <c r="J58" s="149" t="inlineStr">
        <is>
          <t>이자비용 11,279,371 + 지급수수료 1,700,704</t>
        </is>
      </c>
    </row>
    <row r="59" ht="15.75" customHeight="1">
      <c r="A59" s="167" t="inlineStr">
        <is>
          <t>주1: USD 상당액 = 대상금액 x 이율 x 일수/360 (전신료, L/G 발급료는 KRW 정액)</t>
        </is>
      </c>
      <c r="B59" s="43" t="n"/>
      <c r="C59" s="44" t="n"/>
      <c r="D59" s="43" t="n"/>
      <c r="E59" s="43" t="n"/>
      <c r="F59" s="43" t="n"/>
      <c r="G59" s="49" t="n"/>
      <c r="H59" s="43" t="n"/>
      <c r="I59" s="43" t="n"/>
      <c r="J59" s="43" t="n"/>
    </row>
    <row r="60" ht="15.75" customHeight="1">
      <c r="A60" s="167" t="inlineStr">
        <is>
          <t>주2: No.1~6 수수료는 징수일에 KRW 기징수, No.7(만기연장)·해외수수료는 상환일(6/16) 출금. 회계처리는 각 징수일자 전표로 계상</t>
        </is>
      </c>
      <c r="B60" s="43" t="n"/>
      <c r="C60" s="44" t="n"/>
      <c r="D60" s="43" t="n"/>
      <c r="E60" s="43" t="n"/>
      <c r="F60" s="43" t="n"/>
      <c r="G60" s="49" t="n"/>
      <c r="H60" s="43" t="n"/>
      <c r="I60" s="43" t="n"/>
      <c r="J60" s="43" t="n"/>
    </row>
    <row r="61" ht="15.75" customHeight="1">
      <c r="A61" s="167" t="inlineStr">
        <is>
          <t>주3: 원금 상환 (외국환 거래표 2026-06-16, REF M88JX2510NU00018): 원금 USD 221,868.00 x 적용환율 1,517.25 = 원화 336,629,315 (은행 실제 출금액)</t>
        </is>
      </c>
      <c r="B61" s="43" t="n"/>
      <c r="C61" s="44" t="n"/>
      <c r="D61" s="43" t="n"/>
      <c r="E61" s="43" t="n"/>
      <c r="F61" s="43" t="n"/>
      <c r="G61" s="49" t="n"/>
      <c r="H61" s="43" t="n"/>
      <c r="I61" s="43" t="n"/>
      <c r="J61" s="43" t="n"/>
    </row>
    <row r="62" ht="15.75" customHeight="1">
      <c r="A62" s="167" t="inlineStr">
        <is>
          <t>주4: 6/16 실제 출금 합계 345,933,041원 = 원금 336,629,315 + 만기연장 인수수수료 11,186 + 해외수수료 9,292,540</t>
        </is>
      </c>
      <c r="B62" s="43" t="n"/>
      <c r="C62" s="44" t="n"/>
      <c r="D62" s="43" t="n"/>
      <c r="E62" s="43" t="n"/>
      <c r="F62" s="43" t="n"/>
      <c r="G62" s="49" t="n"/>
      <c r="H62" s="43" t="n"/>
      <c r="I62" s="43" t="n"/>
      <c r="J62" s="43" t="n"/>
    </row>
    <row r="63" ht="15.75" customHeight="1">
      <c r="A63" s="167" t="inlineStr">
        <is>
          <t>주5: 해외수수료 KRW 9,292,540은 USD 6,124.77 x 1,517.20 환산 추정 (은행 명세상 KRW 미표기). lcCustomsData 해외수수료(USD 6,124.77)와 일치</t>
        </is>
      </c>
      <c r="B63" s="43" t="n"/>
      <c r="C63" s="44" t="n"/>
      <c r="D63" s="43" t="n"/>
      <c r="E63" s="43" t="n"/>
      <c r="F63" s="43" t="n"/>
      <c r="G63" s="49" t="n"/>
      <c r="H63" s="43" t="n"/>
      <c r="I63" s="43" t="n"/>
      <c r="J63" s="43" t="n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>
      <c r="M71" s="22" t="n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Format="1" customHeight="1" s="234"/>
    <row r="82" ht="15.75" customFormat="1" customHeight="1" s="234"/>
    <row r="83" ht="15.75" customFormat="1" customHeight="1" s="234"/>
    <row r="84" ht="15.75" customFormat="1" customHeight="1" s="234"/>
    <row r="85" ht="15.75" customFormat="1" customHeight="1" s="234"/>
    <row r="86" ht="15.75" customFormat="1" customHeight="1" s="234"/>
    <row r="87" ht="15.75" customFormat="1" customHeight="1" s="234"/>
    <row r="88" ht="15.75" customFormat="1" customHeight="1" s="234"/>
    <row r="89" ht="15.75" customFormat="1" customHeight="1" s="234"/>
    <row r="90" ht="15.75" customFormat="1" customHeight="1" s="234"/>
    <row r="91" ht="15.75" customFormat="1" customHeight="1" s="234"/>
    <row r="92" ht="15.75" customFormat="1" customHeight="1" s="234"/>
    <row r="93" ht="15.75" customFormat="1" customHeight="1" s="234"/>
    <row r="94" ht="15.75" customFormat="1" customHeight="1" s="234"/>
    <row r="95" ht="15.75" customFormat="1" customHeight="1" s="234"/>
    <row r="96" ht="15.75" customFormat="1" customHeight="1" s="234"/>
    <row r="97" ht="15.75" customFormat="1" customHeight="1" s="234"/>
    <row r="98" ht="15.75" customFormat="1" customHeight="1" s="234"/>
    <row r="99" ht="15.75" customFormat="1" customHeight="1" s="234"/>
    <row r="100" ht="15.75" customFormat="1" customHeight="1" s="234"/>
    <row r="101" ht="15.75" customFormat="1" customHeight="1" s="234"/>
    <row r="102" ht="15.75" customFormat="1" customHeight="1" s="234"/>
    <row r="103" ht="15.75" customFormat="1" customHeight="1" s="234"/>
    <row r="104" ht="15.75" customFormat="1" customHeight="1" s="234"/>
    <row r="105" ht="15.75" customFormat="1" customHeight="1" s="234"/>
    <row r="106" ht="15.75" customFormat="1" customHeight="1" s="234"/>
    <row r="107" ht="15.75" customFormat="1" customHeight="1" s="234"/>
    <row r="108" ht="15.75" customFormat="1" customHeight="1" s="234"/>
    <row r="109" ht="15.75" customFormat="1" customHeight="1" s="234"/>
    <row r="110" ht="15.75" customFormat="1" customHeight="1" s="234"/>
    <row r="111" ht="15.75" customFormat="1" customHeight="1" s="234"/>
    <row r="112" ht="15.75" customFormat="1" customHeight="1" s="234"/>
    <row r="113" ht="15.75" customFormat="1" customHeight="1" s="234"/>
    <row r="114" ht="15.75" customFormat="1" customHeight="1" s="234"/>
    <row r="115" ht="15.75" customFormat="1" customHeight="1" s="234"/>
    <row r="116" ht="15.75" customFormat="1" customHeight="1" s="234"/>
    <row r="117" ht="15.75" customFormat="1" customHeight="1" s="234"/>
    <row r="118" ht="15.75" customFormat="1" customHeight="1" s="234"/>
    <row r="119" ht="15.75" customFormat="1" customHeight="1" s="234"/>
    <row r="120" ht="15.75" customFormat="1" customHeight="1" s="234"/>
    <row r="121" ht="15.75" customFormat="1" customHeight="1" s="234"/>
    <row r="122" ht="15.75" customFormat="1" customHeight="1" s="234"/>
    <row r="123" ht="15.75" customFormat="1" customHeight="1" s="234"/>
    <row r="124" ht="15.75" customFormat="1" customHeight="1" s="234"/>
    <row r="125" ht="15.75" customFormat="1" customHeight="1" s="234"/>
    <row r="126" ht="15.75" customFormat="1" customHeight="1" s="234"/>
    <row r="127" ht="15.75" customFormat="1" customHeight="1" s="234"/>
    <row r="128" ht="15.75" customFormat="1" customHeight="1" s="234"/>
    <row r="129" ht="15.75" customFormat="1" customHeight="1" s="234"/>
    <row r="130" ht="15.75" customFormat="1" customHeight="1" s="234"/>
    <row r="131" ht="15.75" customFormat="1" customHeight="1" s="234"/>
    <row r="132" ht="15.75" customFormat="1" customHeight="1" s="234"/>
    <row r="133" ht="15.75" customFormat="1" customHeight="1" s="234"/>
    <row r="134" ht="15.75" customFormat="1" customHeight="1" s="234"/>
    <row r="135" ht="15.75" customFormat="1" customHeight="1" s="234"/>
    <row r="136" ht="15.75" customFormat="1" customHeight="1" s="234"/>
    <row r="137" ht="15.75" customFormat="1" customHeight="1" s="234"/>
    <row r="138" ht="15.75" customFormat="1" customHeight="1" s="234"/>
    <row r="139" ht="15.75" customFormat="1" customHeight="1" s="234"/>
    <row r="140" ht="15.75" customFormat="1" customHeight="1" s="234"/>
    <row r="141" ht="15.75" customFormat="1" customHeight="1" s="234"/>
    <row r="142" ht="15.75" customFormat="1" customHeight="1" s="234"/>
    <row r="143" ht="15.75" customFormat="1" customHeight="1" s="234"/>
    <row r="144" ht="15.75" customFormat="1" customHeight="1" s="234"/>
    <row r="145" ht="15.75" customFormat="1" customHeight="1" s="234"/>
    <row r="146" ht="15.75" customFormat="1" customHeight="1" s="234"/>
    <row r="147" ht="15.75" customFormat="1" customHeight="1" s="234"/>
    <row r="148" ht="15.75" customFormat="1" customHeight="1" s="234"/>
    <row r="149" ht="15.75" customFormat="1" customHeight="1" s="234"/>
    <row r="150" ht="15.75" customFormat="1" customHeight="1" s="234"/>
    <row r="151" ht="15.75" customFormat="1" customHeight="1" s="234"/>
    <row r="152" ht="15.75" customFormat="1" customHeight="1" s="234"/>
    <row r="153" ht="15.75" customFormat="1" customHeight="1" s="234"/>
    <row r="154" ht="15.75" customFormat="1" customHeight="1" s="234"/>
    <row r="155" ht="15.75" customFormat="1" customHeight="1" s="234"/>
    <row r="156" ht="15.75" customFormat="1" customHeight="1" s="234"/>
    <row r="157" ht="15.75" customFormat="1" customHeight="1" s="234"/>
    <row r="158" ht="15.75" customFormat="1" customHeight="1" s="234"/>
    <row r="159" ht="15.75" customFormat="1" customHeight="1" s="234"/>
    <row r="160" ht="15.75" customFormat="1" customHeight="1" s="234"/>
    <row r="161" ht="15.75" customFormat="1" customHeight="1" s="234"/>
    <row r="162" ht="15.75" customFormat="1" customHeight="1" s="234"/>
    <row r="163" ht="15.75" customFormat="1" customHeight="1" s="234"/>
    <row r="164" ht="15.75" customFormat="1" customHeight="1" s="234"/>
    <row r="165" ht="15.75" customFormat="1" customHeight="1" s="234"/>
    <row r="166" ht="15.75" customFormat="1" customHeight="1" s="234"/>
    <row r="167" ht="15.75" customFormat="1" customHeight="1" s="234"/>
    <row r="168" ht="15.75" customFormat="1" customHeight="1" s="234"/>
    <row r="169" ht="15.75" customFormat="1" customHeight="1" s="234"/>
    <row r="170" ht="15.75" customFormat="1" customHeight="1" s="234"/>
    <row r="171" ht="15.75" customFormat="1" customHeight="1" s="234"/>
    <row r="172" ht="15.75" customFormat="1" customHeight="1" s="234"/>
    <row r="173" ht="15.75" customFormat="1" customHeight="1" s="234"/>
    <row r="174" ht="15.75" customFormat="1" customHeight="1" s="234"/>
    <row r="175" ht="15.75" customFormat="1" customHeight="1" s="234"/>
    <row r="176" ht="15.75" customFormat="1" customHeight="1" s="234"/>
    <row r="177" ht="15.75" customFormat="1" customHeight="1" s="234"/>
    <row r="178" ht="15.75" customFormat="1" customHeight="1" s="234"/>
    <row r="179" ht="15.75" customFormat="1" customHeight="1" s="234"/>
    <row r="180" ht="15.75" customFormat="1" customHeight="1" s="234"/>
    <row r="181" ht="15.75" customFormat="1" customHeight="1" s="234"/>
    <row r="182" ht="15.75" customFormat="1" customHeight="1" s="234"/>
    <row r="183" ht="15.75" customFormat="1" customHeight="1" s="234"/>
    <row r="184" ht="15.75" customFormat="1" customHeight="1" s="234"/>
    <row r="185" ht="15.75" customFormat="1" customHeight="1" s="234"/>
    <row r="186" ht="15.75" customFormat="1" customHeight="1" s="234"/>
    <row r="187" ht="15.75" customFormat="1" customHeight="1" s="234"/>
    <row r="188" ht="15.75" customFormat="1" customHeight="1" s="234"/>
    <row r="189" ht="15.75" customFormat="1" customHeight="1" s="234"/>
    <row r="190" ht="15.75" customFormat="1" customHeight="1" s="234"/>
    <row r="191" ht="15.75" customFormat="1" customHeight="1" s="234"/>
    <row r="192" ht="15.75" customFormat="1" customHeight="1" s="234"/>
    <row r="193" ht="15.75" customFormat="1" customHeight="1" s="234"/>
    <row r="194" ht="15.75" customFormat="1" customHeight="1" s="234"/>
    <row r="195" ht="15.75" customFormat="1" customHeight="1" s="234"/>
    <row r="196" ht="15.75" customFormat="1" customHeight="1" s="234"/>
    <row r="197" ht="15.75" customFormat="1" customHeight="1" s="234"/>
    <row r="198" ht="15.75" customFormat="1" customHeight="1" s="234"/>
    <row r="199" ht="15.75" customFormat="1" customHeight="1" s="234"/>
    <row r="200" ht="15.75" customFormat="1" customHeight="1" s="234"/>
    <row r="201" ht="15.75" customFormat="1" customHeight="1" s="234"/>
    <row r="202" ht="15.75" customFormat="1" customHeight="1" s="234"/>
    <row r="203" ht="15.75" customFormat="1" customHeight="1" s="234"/>
    <row r="204" ht="15.75" customFormat="1" customHeight="1" s="234"/>
    <row r="205" ht="15.75" customFormat="1" customHeight="1" s="234"/>
    <row r="206" ht="15.75" customFormat="1" customHeight="1" s="234"/>
    <row r="207" ht="15.75" customFormat="1" customHeight="1" s="234"/>
    <row r="208" ht="15.75" customFormat="1" customHeight="1" s="234"/>
    <row r="209" ht="15.75" customFormat="1" customHeight="1" s="234"/>
    <row r="210" ht="15.75" customFormat="1" customHeight="1" s="234"/>
    <row r="211" ht="15.75" customFormat="1" customHeight="1" s="234"/>
    <row r="212" ht="15.75" customFormat="1" customHeight="1" s="234"/>
    <row r="213" ht="15.75" customFormat="1" customHeight="1" s="234"/>
    <row r="214" ht="15.75" customFormat="1" customHeight="1" s="234"/>
    <row r="215" ht="15.75" customFormat="1" customHeight="1" s="234"/>
    <row r="216" ht="15.75" customFormat="1" customHeight="1" s="234"/>
    <row r="217" ht="15.75" customFormat="1" customHeight="1" s="234"/>
    <row r="218" ht="15.75" customFormat="1" customHeight="1" s="234"/>
    <row r="219" ht="15.75" customFormat="1" customHeight="1" s="234"/>
    <row r="220" ht="15.75" customFormat="1" customHeight="1" s="234"/>
    <row r="221" ht="15.75" customFormat="1" customHeight="1" s="234"/>
    <row r="222" ht="15.75" customFormat="1" customHeight="1" s="234"/>
    <row r="223" ht="15.75" customFormat="1" customHeight="1" s="234"/>
    <row r="224" ht="15.75" customFormat="1" customHeight="1" s="234"/>
    <row r="225" ht="15.75" customFormat="1" customHeight="1" s="234"/>
    <row r="226" ht="15.75" customFormat="1" customHeight="1" s="234"/>
    <row r="227" ht="15.75" customFormat="1" customHeight="1" s="234"/>
    <row r="228" ht="15.75" customFormat="1" customHeight="1" s="234"/>
    <row r="229" ht="15.75" customFormat="1" customHeight="1" s="234"/>
    <row r="230" ht="15.75" customFormat="1" customHeight="1" s="234"/>
    <row r="231" ht="15.75" customFormat="1" customHeight="1" s="234"/>
    <row r="232" ht="15.75" customFormat="1" customHeight="1" s="234"/>
    <row r="233" ht="15.75" customFormat="1" customHeight="1" s="234"/>
    <row r="234" ht="15.75" customFormat="1" customHeight="1" s="234"/>
    <row r="235" ht="15.75" customFormat="1" customHeight="1" s="234"/>
    <row r="236" ht="15.75" customFormat="1" customHeight="1" s="234"/>
    <row r="237" ht="15.75" customFormat="1" customHeight="1" s="234"/>
    <row r="238" ht="15.75" customFormat="1" customHeight="1" s="234"/>
    <row r="239" ht="15.75" customFormat="1" customHeight="1" s="234"/>
    <row r="240" ht="15.75" customFormat="1" customHeight="1" s="234"/>
    <row r="241" ht="15.75" customFormat="1" customHeight="1" s="234"/>
    <row r="242" ht="15.75" customFormat="1" customHeight="1" s="234"/>
    <row r="243" ht="15.75" customFormat="1" customHeight="1" s="234"/>
    <row r="244" ht="15.75" customFormat="1" customHeight="1" s="234"/>
    <row r="245" ht="15.75" customFormat="1" customHeight="1" s="234"/>
    <row r="246" ht="15.75" customFormat="1" customHeight="1" s="234"/>
    <row r="247" ht="15.75" customFormat="1" customHeight="1" s="234"/>
    <row r="248" ht="15.75" customFormat="1" customHeight="1" s="234"/>
    <row r="249" ht="15.75" customFormat="1" customHeight="1" s="234"/>
    <row r="250" ht="15.75" customFormat="1" customHeight="1" s="234"/>
    <row r="251" ht="15.75" customFormat="1" customHeight="1" s="234"/>
    <row r="252" ht="15.75" customFormat="1" customHeight="1" s="234"/>
    <row r="253" ht="15.75" customFormat="1" customHeight="1" s="234"/>
    <row r="254" ht="15.75" customFormat="1" customHeight="1" s="234"/>
    <row r="255" ht="15.75" customFormat="1" customHeight="1" s="234"/>
    <row r="256" ht="15.75" customFormat="1" customHeight="1" s="234"/>
    <row r="257" ht="15.75" customFormat="1" customHeight="1" s="234"/>
    <row r="258" ht="15.75" customFormat="1" customHeight="1" s="234"/>
    <row r="259" ht="15.75" customFormat="1" customHeight="1" s="234"/>
    <row r="260" ht="15.75" customFormat="1" customHeight="1" s="234"/>
    <row r="261" ht="15.75" customFormat="1" customHeight="1" s="234"/>
    <row r="262" ht="15.75" customFormat="1" customHeight="1" s="234"/>
    <row r="263" ht="15.75" customFormat="1" customHeight="1" s="234"/>
    <row r="264" ht="15.75" customFormat="1" customHeight="1" s="234"/>
    <row r="265" ht="15.75" customFormat="1" customHeight="1" s="234"/>
    <row r="266" ht="15.75" customFormat="1" customHeight="1" s="234"/>
    <row r="267" ht="15.75" customFormat="1" customHeight="1" s="234"/>
    <row r="268" ht="15.75" customFormat="1" customHeight="1" s="234"/>
    <row r="269" ht="15.75" customFormat="1" customHeight="1" s="234"/>
    <row r="270" ht="15.75" customFormat="1" customHeight="1" s="234"/>
    <row r="271" ht="15.75" customFormat="1" customHeight="1" s="234"/>
    <row r="272" ht="15.75" customFormat="1" customHeight="1" s="234"/>
    <row r="273" ht="15.75" customFormat="1" customHeight="1" s="234"/>
    <row r="274" ht="15.75" customFormat="1" customHeight="1" s="234"/>
    <row r="275" ht="15.75" customFormat="1" customHeight="1" s="234"/>
    <row r="276" ht="15.75" customFormat="1" customHeight="1" s="234"/>
    <row r="277" ht="15.75" customFormat="1" customHeight="1" s="234"/>
    <row r="278" ht="15.75" customFormat="1" customHeight="1" s="234"/>
    <row r="279" ht="15.75" customFormat="1" customHeight="1" s="234"/>
    <row r="280" ht="15.75" customFormat="1" customHeight="1" s="234"/>
    <row r="281" ht="15.75" customFormat="1" customHeight="1" s="234"/>
    <row r="282" ht="15.75" customFormat="1" customHeight="1" s="234"/>
    <row r="283" ht="15.75" customFormat="1" customHeight="1" s="234"/>
    <row r="284" ht="15.75" customFormat="1" customHeight="1" s="234"/>
    <row r="285" ht="15.75" customFormat="1" customHeight="1" s="234"/>
    <row r="286" ht="15.75" customFormat="1" customHeight="1" s="234"/>
    <row r="287" ht="15.75" customFormat="1" customHeight="1" s="234"/>
    <row r="288" ht="15.75" customFormat="1" customHeight="1" s="234"/>
    <row r="289" ht="15.75" customFormat="1" customHeight="1" s="234"/>
    <row r="290" ht="15.75" customFormat="1" customHeight="1" s="234"/>
    <row r="291" ht="15.75" customFormat="1" customHeight="1" s="234"/>
    <row r="292" ht="15.75" customFormat="1" customHeight="1" s="234"/>
    <row r="293" ht="15.75" customFormat="1" customHeight="1" s="234"/>
    <row r="294" ht="15.75" customFormat="1" customHeight="1" s="234"/>
    <row r="295" ht="15.75" customFormat="1" customHeight="1" s="234"/>
    <row r="296" ht="15.75" customFormat="1" customHeight="1" s="234"/>
    <row r="297" ht="15.75" customFormat="1" customHeight="1" s="234"/>
    <row r="298" ht="15.75" customFormat="1" customHeight="1" s="234"/>
    <row r="299" ht="15.75" customFormat="1" customHeight="1" s="234"/>
    <row r="300" ht="15.75" customFormat="1" customHeight="1" s="234"/>
    <row r="301" ht="15.75" customFormat="1" customHeight="1" s="234"/>
    <row r="302" ht="15.75" customFormat="1" customHeight="1" s="234"/>
    <row r="303" ht="15.75" customFormat="1" customHeight="1" s="234"/>
    <row r="304" ht="15.75" customFormat="1" customHeight="1" s="234"/>
    <row r="305" ht="15.75" customFormat="1" customHeight="1" s="234"/>
    <row r="306" ht="15.75" customFormat="1" customHeight="1" s="234"/>
    <row r="307" ht="15.75" customFormat="1" customHeight="1" s="234"/>
    <row r="308" ht="15.75" customFormat="1" customHeight="1" s="234"/>
    <row r="309" ht="15.75" customFormat="1" customHeight="1" s="234"/>
    <row r="310" ht="15.75" customFormat="1" customHeight="1" s="234"/>
    <row r="311" ht="15.75" customFormat="1" customHeight="1" s="234"/>
    <row r="312" ht="15.75" customFormat="1" customHeight="1" s="234"/>
    <row r="313" ht="15.75" customFormat="1" customHeight="1" s="234"/>
    <row r="314" ht="15.75" customFormat="1" customHeight="1" s="234"/>
    <row r="315" ht="15.75" customFormat="1" customHeight="1" s="234"/>
    <row r="316" ht="15.75" customFormat="1" customHeight="1" s="234"/>
    <row r="317" ht="15.75" customFormat="1" customHeight="1" s="234"/>
    <row r="318" ht="15.75" customFormat="1" customHeight="1" s="234"/>
    <row r="319" ht="15.75" customFormat="1" customHeight="1" s="234"/>
    <row r="320" ht="15.75" customFormat="1" customHeight="1" s="234"/>
    <row r="321" ht="15.75" customFormat="1" customHeight="1" s="234"/>
    <row r="322" ht="15.75" customFormat="1" customHeight="1" s="234"/>
    <row r="323" ht="15.75" customFormat="1" customHeight="1" s="234"/>
    <row r="324" ht="15.75" customFormat="1" customHeight="1" s="234"/>
    <row r="325" ht="15.75" customFormat="1" customHeight="1" s="234"/>
    <row r="326" ht="15.75" customFormat="1" customHeight="1" s="234"/>
    <row r="327" ht="15.75" customFormat="1" customHeight="1" s="234"/>
    <row r="328" ht="15.75" customFormat="1" customHeight="1" s="234"/>
    <row r="329" ht="15.75" customFormat="1" customHeight="1" s="234"/>
    <row r="330" ht="15.75" customFormat="1" customHeight="1" s="234"/>
    <row r="331" ht="15.75" customFormat="1" customHeight="1" s="234"/>
    <row r="332" ht="15.75" customFormat="1" customHeight="1" s="234"/>
    <row r="333" ht="15.75" customFormat="1" customHeight="1" s="234"/>
    <row r="334" ht="15.75" customFormat="1" customHeight="1" s="234"/>
    <row r="335" ht="15.75" customFormat="1" customHeight="1" s="234"/>
    <row r="336" ht="15.75" customFormat="1" customHeight="1" s="234"/>
    <row r="337" ht="15.75" customFormat="1" customHeight="1" s="234"/>
    <row r="338" ht="15.75" customFormat="1" customHeight="1" s="234"/>
    <row r="339" ht="15.75" customFormat="1" customHeight="1" s="234"/>
    <row r="340" ht="15.75" customFormat="1" customHeight="1" s="234"/>
    <row r="341" ht="15.75" customFormat="1" customHeight="1" s="234"/>
    <row r="342" ht="15.75" customFormat="1" customHeight="1" s="234"/>
    <row r="343" ht="15.75" customFormat="1" customHeight="1" s="234"/>
    <row r="344" ht="15.75" customFormat="1" customHeight="1" s="234"/>
    <row r="345" ht="15.75" customFormat="1" customHeight="1" s="234"/>
    <row r="346" ht="15.75" customFormat="1" customHeight="1" s="234"/>
    <row r="347" ht="15.75" customFormat="1" customHeight="1" s="234"/>
    <row r="348" ht="15.75" customFormat="1" customHeight="1" s="234"/>
    <row r="349" ht="15.75" customFormat="1" customHeight="1" s="234"/>
    <row r="350" ht="15.75" customFormat="1" customHeight="1" s="234"/>
    <row r="351" ht="15.75" customFormat="1" customHeight="1" s="234"/>
    <row r="352" ht="15.75" customFormat="1" customHeight="1" s="234"/>
    <row r="353" ht="15.75" customFormat="1" customHeight="1" s="234"/>
    <row r="354" ht="15.75" customFormat="1" customHeight="1" s="234"/>
    <row r="355" ht="15.75" customFormat="1" customHeight="1" s="234"/>
    <row r="356" ht="15.75" customFormat="1" customHeight="1" s="234"/>
    <row r="357" ht="15.75" customFormat="1" customHeight="1" s="234"/>
    <row r="358" ht="15.75" customFormat="1" customHeight="1" s="234"/>
    <row r="359" ht="15.75" customFormat="1" customHeight="1" s="234"/>
    <row r="360" ht="15.75" customFormat="1" customHeight="1" s="234"/>
    <row r="361" ht="15.75" customFormat="1" customHeight="1" s="234"/>
    <row r="362" ht="15.75" customFormat="1" customHeight="1" s="234"/>
    <row r="363" ht="15.75" customFormat="1" customHeight="1" s="234"/>
    <row r="364" ht="15.75" customFormat="1" customHeight="1" s="234"/>
    <row r="365" ht="15.75" customFormat="1" customHeight="1" s="234"/>
    <row r="366" ht="15.75" customFormat="1" customHeight="1" s="234"/>
    <row r="367" ht="15.75" customFormat="1" customHeight="1" s="234"/>
    <row r="368" ht="15.75" customFormat="1" customHeight="1" s="234"/>
    <row r="369" ht="15.75" customFormat="1" customHeight="1" s="234"/>
    <row r="370" ht="15.75" customFormat="1" customHeight="1" s="234"/>
    <row r="371" ht="15.75" customFormat="1" customHeight="1" s="234"/>
    <row r="372" ht="15.75" customFormat="1" customHeight="1" s="234"/>
    <row r="373" ht="15.75" customFormat="1" customHeight="1" s="234"/>
    <row r="374" ht="15.75" customFormat="1" customHeight="1" s="234"/>
    <row r="375" ht="15.75" customFormat="1" customHeight="1" s="234"/>
    <row r="376" ht="15.75" customFormat="1" customHeight="1" s="234"/>
    <row r="377" ht="15.75" customFormat="1" customHeight="1" s="234"/>
    <row r="378" ht="15.75" customFormat="1" customHeight="1" s="234"/>
    <row r="379" ht="15.75" customFormat="1" customHeight="1" s="234"/>
    <row r="380" ht="15.75" customFormat="1" customHeight="1" s="234"/>
    <row r="381" ht="15.75" customFormat="1" customHeight="1" s="234"/>
    <row r="382" ht="15.75" customFormat="1" customHeight="1" s="234"/>
    <row r="383" ht="15.75" customFormat="1" customHeight="1" s="234"/>
    <row r="384" ht="15.75" customFormat="1" customHeight="1" s="234"/>
    <row r="385" ht="15.75" customFormat="1" customHeight="1" s="234"/>
    <row r="386" ht="15.75" customFormat="1" customHeight="1" s="234"/>
    <row r="387" ht="15.75" customFormat="1" customHeight="1" s="234"/>
    <row r="388" ht="15.75" customFormat="1" customHeight="1" s="234"/>
    <row r="389" ht="15.75" customFormat="1" customHeight="1" s="234"/>
    <row r="390" ht="15.75" customFormat="1" customHeight="1" s="234"/>
    <row r="391" ht="15.75" customFormat="1" customHeight="1" s="234"/>
    <row r="392" ht="15.75" customFormat="1" customHeight="1" s="234"/>
    <row r="393" ht="15.75" customFormat="1" customHeight="1" s="234"/>
    <row r="394" ht="15.75" customFormat="1" customHeight="1" s="234"/>
    <row r="395" ht="15.75" customFormat="1" customHeight="1" s="234"/>
    <row r="396" ht="15.75" customFormat="1" customHeight="1" s="234"/>
    <row r="397" ht="15.75" customFormat="1" customHeight="1" s="234"/>
    <row r="398" ht="15.75" customFormat="1" customHeight="1" s="234"/>
    <row r="399" ht="15.75" customFormat="1" customHeight="1" s="234"/>
    <row r="400" ht="15.75" customFormat="1" customHeight="1" s="234"/>
    <row r="401" ht="15.75" customFormat="1" customHeight="1" s="234"/>
    <row r="402" ht="15.75" customFormat="1" customHeight="1" s="234"/>
    <row r="403" ht="15.75" customFormat="1" customHeight="1" s="234"/>
    <row r="404" ht="15.75" customFormat="1" customHeight="1" s="234"/>
    <row r="405" ht="15.75" customFormat="1" customHeight="1" s="234"/>
    <row r="406" ht="15.75" customFormat="1" customHeight="1" s="234"/>
    <row r="407" ht="15.75" customFormat="1" customHeight="1" s="234"/>
    <row r="408" ht="15.75" customFormat="1" customHeight="1" s="234"/>
    <row r="409" ht="15.75" customFormat="1" customHeight="1" s="234"/>
    <row r="410" ht="15.75" customFormat="1" customHeight="1" s="234"/>
    <row r="411" ht="15.75" customFormat="1" customHeight="1" s="234"/>
    <row r="412" ht="15.75" customFormat="1" customHeight="1" s="234"/>
    <row r="413" ht="15.75" customFormat="1" customHeight="1" s="234"/>
    <row r="414" ht="15.75" customFormat="1" customHeight="1" s="234"/>
    <row r="415" ht="15.75" customFormat="1" customHeight="1" s="234"/>
    <row r="416" ht="15.75" customFormat="1" customHeight="1" s="234"/>
    <row r="417" ht="15.75" customFormat="1" customHeight="1" s="234"/>
    <row r="418" ht="15.75" customFormat="1" customHeight="1" s="234"/>
    <row r="419" ht="15.75" customFormat="1" customHeight="1" s="234"/>
    <row r="420" ht="15.75" customFormat="1" customHeight="1" s="234"/>
    <row r="421" ht="15.75" customFormat="1" customHeight="1" s="234"/>
    <row r="422" ht="15.75" customFormat="1" customHeight="1" s="234"/>
    <row r="423" ht="15.75" customFormat="1" customHeight="1" s="234"/>
    <row r="424" ht="15.75" customFormat="1" customHeight="1" s="234"/>
    <row r="425" ht="15.75" customFormat="1" customHeight="1" s="234"/>
    <row r="426" ht="15.75" customFormat="1" customHeight="1" s="234"/>
    <row r="427" ht="15.75" customFormat="1" customHeight="1" s="234"/>
    <row r="428" ht="15.75" customFormat="1" customHeight="1" s="234"/>
    <row r="429" ht="15.75" customFormat="1" customHeight="1" s="234"/>
    <row r="430" ht="15.75" customFormat="1" customHeight="1" s="234"/>
    <row r="431" ht="15.75" customFormat="1" customHeight="1" s="234"/>
    <row r="432" ht="15.75" customFormat="1" customHeight="1" s="234"/>
    <row r="433" ht="15.75" customFormat="1" customHeight="1" s="234"/>
    <row r="434" ht="15.75" customFormat="1" customHeight="1" s="234"/>
    <row r="435" ht="15.75" customFormat="1" customHeight="1" s="234"/>
    <row r="436" ht="15.75" customFormat="1" customHeight="1" s="234"/>
    <row r="437" ht="15.75" customFormat="1" customHeight="1" s="234"/>
    <row r="438" ht="15.75" customFormat="1" customHeight="1" s="234"/>
    <row r="439" ht="15.75" customFormat="1" customHeight="1" s="234"/>
    <row r="440" ht="15.75" customFormat="1" customHeight="1" s="234"/>
    <row r="441" ht="15.75" customFormat="1" customHeight="1" s="234"/>
    <row r="442" ht="15.75" customFormat="1" customHeight="1" s="234"/>
    <row r="443" ht="15.75" customFormat="1" customHeight="1" s="234"/>
    <row r="444" ht="15.75" customFormat="1" customHeight="1" s="234"/>
    <row r="445" ht="15.75" customFormat="1" customHeight="1" s="234"/>
    <row r="446" ht="15.75" customFormat="1" customHeight="1" s="234"/>
    <row r="447" ht="15.75" customFormat="1" customHeight="1" s="234"/>
    <row r="448" ht="15.75" customFormat="1" customHeight="1" s="234"/>
    <row r="449" ht="15.75" customFormat="1" customHeight="1" s="234"/>
    <row r="450" ht="15.75" customFormat="1" customHeight="1" s="234"/>
    <row r="451" ht="15.75" customFormat="1" customHeight="1" s="234"/>
    <row r="452" ht="15.75" customFormat="1" customHeight="1" s="234"/>
    <row r="453" ht="15.75" customFormat="1" customHeight="1" s="234"/>
    <row r="454" ht="15.75" customFormat="1" customHeight="1" s="234"/>
    <row r="455" ht="15.75" customFormat="1" customHeight="1" s="234"/>
    <row r="456" ht="15.75" customFormat="1" customHeight="1" s="234"/>
    <row r="457" ht="15.75" customFormat="1" customHeight="1" s="234"/>
    <row r="458" ht="15.75" customFormat="1" customHeight="1" s="234"/>
    <row r="459" ht="15.75" customFormat="1" customHeight="1" s="234"/>
    <row r="460" ht="15.75" customFormat="1" customHeight="1" s="234"/>
    <row r="461" ht="15.75" customFormat="1" customHeight="1" s="234"/>
    <row r="462" ht="15.75" customFormat="1" customHeight="1" s="234"/>
    <row r="463" ht="15.75" customFormat="1" customHeight="1" s="234"/>
    <row r="464" ht="15.75" customFormat="1" customHeight="1" s="234"/>
    <row r="465" ht="15.75" customFormat="1" customHeight="1" s="234"/>
    <row r="466" ht="15.75" customFormat="1" customHeight="1" s="234"/>
    <row r="467" ht="15.75" customFormat="1" customHeight="1" s="234"/>
    <row r="468" ht="15.75" customFormat="1" customHeight="1" s="234"/>
    <row r="469" ht="15.75" customFormat="1" customHeight="1" s="234"/>
    <row r="470" ht="15.75" customFormat="1" customHeight="1" s="234"/>
    <row r="471" ht="15.75" customFormat="1" customHeight="1" s="234"/>
    <row r="472" ht="15.75" customFormat="1" customHeight="1" s="234"/>
    <row r="473" ht="15.75" customFormat="1" customHeight="1" s="234"/>
    <row r="474" ht="15.75" customFormat="1" customHeight="1" s="234"/>
    <row r="475" ht="15.75" customFormat="1" customHeight="1" s="234"/>
    <row r="476" ht="15.75" customFormat="1" customHeight="1" s="234"/>
    <row r="477" ht="15.75" customFormat="1" customHeight="1" s="234"/>
    <row r="478" ht="15.75" customFormat="1" customHeight="1" s="234"/>
    <row r="479" ht="15.75" customFormat="1" customHeight="1" s="234"/>
    <row r="480" ht="15.75" customFormat="1" customHeight="1" s="234"/>
    <row r="481" ht="15.75" customFormat="1" customHeight="1" s="234"/>
    <row r="482" ht="15.75" customFormat="1" customHeight="1" s="234"/>
    <row r="483" ht="15.75" customFormat="1" customHeight="1" s="234"/>
    <row r="484" ht="15.75" customFormat="1" customHeight="1" s="234"/>
    <row r="485" ht="15.75" customFormat="1" customHeight="1" s="234"/>
    <row r="486" ht="15.75" customFormat="1" customHeight="1" s="234"/>
    <row r="487" ht="15.75" customFormat="1" customHeight="1" s="234"/>
    <row r="488" ht="15.75" customFormat="1" customHeight="1" s="234"/>
    <row r="489" ht="15.75" customFormat="1" customHeight="1" s="234"/>
    <row r="490" ht="15.75" customFormat="1" customHeight="1" s="234"/>
    <row r="491" ht="15.75" customFormat="1" customHeight="1" s="234"/>
    <row r="492" ht="15.75" customFormat="1" customHeight="1" s="234"/>
    <row r="493" ht="15.75" customFormat="1" customHeight="1" s="234"/>
    <row r="494" ht="15.75" customFormat="1" customHeight="1" s="234"/>
    <row r="495" ht="15.75" customFormat="1" customHeight="1" s="234"/>
    <row r="496" ht="15.75" customFormat="1" customHeight="1" s="234"/>
    <row r="497" ht="15.75" customFormat="1" customHeight="1" s="234"/>
    <row r="498" ht="15.75" customFormat="1" customHeight="1" s="234"/>
    <row r="499" ht="15.75" customFormat="1" customHeight="1" s="234"/>
    <row r="500" ht="15.75" customFormat="1" customHeight="1" s="234"/>
    <row r="501" ht="15.75" customFormat="1" customHeight="1" s="234"/>
    <row r="502" ht="15.75" customFormat="1" customHeight="1" s="234"/>
    <row r="503" ht="15.75" customFormat="1" customHeight="1" s="234"/>
    <row r="504" ht="15.75" customFormat="1" customHeight="1" s="234"/>
    <row r="505" ht="15.75" customFormat="1" customHeight="1" s="234"/>
    <row r="506" ht="15.75" customFormat="1" customHeight="1" s="234"/>
    <row r="507" ht="15.75" customFormat="1" customHeight="1" s="234"/>
    <row r="508" ht="15.75" customFormat="1" customHeight="1" s="234"/>
    <row r="509" ht="15.75" customFormat="1" customHeight="1" s="234"/>
    <row r="510" ht="15.75" customFormat="1" customHeight="1" s="234"/>
    <row r="511" ht="15.75" customFormat="1" customHeight="1" s="234"/>
    <row r="512" ht="15.75" customFormat="1" customHeight="1" s="234"/>
    <row r="513" ht="15.75" customFormat="1" customHeight="1" s="234"/>
    <row r="514" ht="15.75" customFormat="1" customHeight="1" s="234"/>
    <row r="515" ht="15.75" customFormat="1" customHeight="1" s="234"/>
    <row r="516" ht="15.75" customFormat="1" customHeight="1" s="234"/>
    <row r="517" ht="15.75" customFormat="1" customHeight="1" s="234"/>
    <row r="518" ht="15.75" customFormat="1" customHeight="1" s="234"/>
    <row r="519" ht="15.75" customFormat="1" customHeight="1" s="234"/>
    <row r="520" ht="15.75" customFormat="1" customHeight="1" s="234"/>
    <row r="521" ht="15.75" customFormat="1" customHeight="1" s="234"/>
    <row r="522" ht="15.75" customFormat="1" customHeight="1" s="234"/>
    <row r="523" ht="15.75" customFormat="1" customHeight="1" s="234"/>
    <row r="524" ht="15.75" customFormat="1" customHeight="1" s="234"/>
    <row r="525" ht="15.75" customFormat="1" customHeight="1" s="234"/>
    <row r="526" ht="15.75" customFormat="1" customHeight="1" s="234"/>
    <row r="527" ht="15.75" customFormat="1" customHeight="1" s="234"/>
    <row r="528" ht="15.75" customFormat="1" customHeight="1" s="234"/>
    <row r="529" ht="15.75" customFormat="1" customHeight="1" s="234"/>
    <row r="530" ht="15.75" customFormat="1" customHeight="1" s="234"/>
    <row r="531" ht="15.75" customFormat="1" customHeight="1" s="234"/>
    <row r="532" ht="15.75" customFormat="1" customHeight="1" s="234"/>
    <row r="533" ht="15.75" customFormat="1" customHeight="1" s="234"/>
    <row r="534" ht="15.75" customFormat="1" customHeight="1" s="234"/>
    <row r="535" ht="15.75" customFormat="1" customHeight="1" s="234"/>
    <row r="536" ht="15.75" customFormat="1" customHeight="1" s="234"/>
    <row r="537" ht="15.75" customFormat="1" customHeight="1" s="234"/>
    <row r="538" ht="15.75" customFormat="1" customHeight="1" s="234"/>
    <row r="539" ht="15.75" customFormat="1" customHeight="1" s="234"/>
    <row r="540" ht="15.75" customFormat="1" customHeight="1" s="234"/>
    <row r="541" ht="15.75" customFormat="1" customHeight="1" s="234"/>
    <row r="542" ht="15.75" customFormat="1" customHeight="1" s="234"/>
    <row r="543" ht="15.75" customFormat="1" customHeight="1" s="234"/>
    <row r="544" ht="15.75" customFormat="1" customHeight="1" s="234"/>
    <row r="545" ht="15.75" customFormat="1" customHeight="1" s="234"/>
    <row r="546" ht="15.75" customFormat="1" customHeight="1" s="234"/>
    <row r="547" ht="15.75" customFormat="1" customHeight="1" s="234"/>
    <row r="548" ht="15.75" customFormat="1" customHeight="1" s="234"/>
    <row r="549" ht="15.75" customFormat="1" customHeight="1" s="234"/>
    <row r="550" ht="15.75" customFormat="1" customHeight="1" s="234"/>
    <row r="551" ht="15.75" customFormat="1" customHeight="1" s="234"/>
    <row r="552" ht="15.75" customFormat="1" customHeight="1" s="234"/>
    <row r="553" ht="15.75" customFormat="1" customHeight="1" s="234"/>
    <row r="554" ht="15.75" customFormat="1" customHeight="1" s="234"/>
    <row r="555" ht="15.75" customFormat="1" customHeight="1" s="234"/>
    <row r="556" ht="15.75" customFormat="1" customHeight="1" s="234"/>
    <row r="557" ht="15.75" customFormat="1" customHeight="1" s="234"/>
    <row r="558" ht="15.75" customFormat="1" customHeight="1" s="234"/>
    <row r="559" ht="15.75" customFormat="1" customHeight="1" s="234"/>
    <row r="560" ht="15.75" customFormat="1" customHeight="1" s="234"/>
    <row r="561" ht="15.75" customFormat="1" customHeight="1" s="234"/>
    <row r="562" ht="15.75" customFormat="1" customHeight="1" s="234"/>
    <row r="563" ht="15.75" customFormat="1" customHeight="1" s="234"/>
    <row r="564" ht="15.75" customFormat="1" customHeight="1" s="234"/>
    <row r="565" ht="15.75" customFormat="1" customHeight="1" s="234"/>
    <row r="566" ht="15.75" customFormat="1" customHeight="1" s="234"/>
    <row r="567" ht="15.75" customFormat="1" customHeight="1" s="234"/>
    <row r="568" ht="15.75" customFormat="1" customHeight="1" s="234"/>
    <row r="569" ht="15.75" customFormat="1" customHeight="1" s="234"/>
    <row r="570" ht="15.75" customFormat="1" customHeight="1" s="234"/>
    <row r="571" ht="15.75" customFormat="1" customHeight="1" s="234"/>
    <row r="572" ht="15.75" customFormat="1" customHeight="1" s="234"/>
    <row r="573" ht="15.75" customFormat="1" customHeight="1" s="234"/>
    <row r="574" ht="15.75" customFormat="1" customHeight="1" s="234"/>
    <row r="575" ht="15.75" customFormat="1" customHeight="1" s="234"/>
    <row r="576" ht="15.75" customFormat="1" customHeight="1" s="234"/>
    <row r="577" ht="15.75" customFormat="1" customHeight="1" s="234"/>
    <row r="578" ht="15.75" customFormat="1" customHeight="1" s="234"/>
    <row r="579" ht="15.75" customFormat="1" customHeight="1" s="234"/>
    <row r="580" ht="15.75" customFormat="1" customHeight="1" s="234"/>
    <row r="581" ht="15.75" customFormat="1" customHeight="1" s="234"/>
    <row r="582" ht="15.75" customFormat="1" customHeight="1" s="234"/>
    <row r="583" ht="15.75" customFormat="1" customHeight="1" s="234"/>
    <row r="584" ht="15.75" customFormat="1" customHeight="1" s="234"/>
    <row r="585" ht="15.75" customFormat="1" customHeight="1" s="234"/>
    <row r="586" ht="15.75" customFormat="1" customHeight="1" s="234"/>
    <row r="587" ht="15.75" customFormat="1" customHeight="1" s="234"/>
    <row r="588" ht="15.75" customFormat="1" customHeight="1" s="234"/>
    <row r="589" ht="15.75" customFormat="1" customHeight="1" s="234"/>
    <row r="590" ht="15.75" customFormat="1" customHeight="1" s="234"/>
    <row r="591" ht="15.75" customFormat="1" customHeight="1" s="234"/>
    <row r="592" ht="15.75" customFormat="1" customHeight="1" s="234"/>
    <row r="593" ht="15.75" customFormat="1" customHeight="1" s="234"/>
    <row r="594" ht="15.75" customFormat="1" customHeight="1" s="234"/>
    <row r="595" ht="15.75" customFormat="1" customHeight="1" s="234"/>
    <row r="596" ht="15.75" customFormat="1" customHeight="1" s="234"/>
    <row r="597" ht="15.75" customFormat="1" customHeight="1" s="234"/>
    <row r="598" ht="15.75" customFormat="1" customHeight="1" s="234"/>
    <row r="599" ht="15.75" customFormat="1" customHeight="1" s="234"/>
    <row r="600" ht="15.75" customFormat="1" customHeight="1" s="234"/>
    <row r="601" ht="15.75" customFormat="1" customHeight="1" s="234"/>
    <row r="602" ht="15.75" customFormat="1" customHeight="1" s="234"/>
    <row r="603" ht="15.75" customFormat="1" customHeight="1" s="234"/>
    <row r="604" ht="15.75" customFormat="1" customHeight="1" s="234"/>
    <row r="605" ht="15.75" customFormat="1" customHeight="1" s="234"/>
    <row r="606" ht="15.75" customFormat="1" customHeight="1" s="234"/>
    <row r="607" ht="15.75" customFormat="1" customHeight="1" s="234"/>
    <row r="608" ht="15.75" customFormat="1" customHeight="1" s="234"/>
    <row r="609" ht="15.75" customFormat="1" customHeight="1" s="234"/>
    <row r="610" ht="15.75" customFormat="1" customHeight="1" s="234"/>
    <row r="611" ht="15.75" customFormat="1" customHeight="1" s="234"/>
    <row r="612" ht="15.75" customFormat="1" customHeight="1" s="234"/>
    <row r="613" ht="15.75" customFormat="1" customHeight="1" s="234"/>
    <row r="614" ht="15.75" customFormat="1" customHeight="1" s="234"/>
    <row r="615" ht="15.75" customFormat="1" customHeight="1" s="234"/>
    <row r="616" ht="15.75" customFormat="1" customHeight="1" s="234"/>
    <row r="617" ht="15.75" customFormat="1" customHeight="1" s="234"/>
    <row r="618" ht="15.75" customFormat="1" customHeight="1" s="234"/>
    <row r="619" ht="15.75" customFormat="1" customHeight="1" s="234"/>
    <row r="620" ht="15.75" customFormat="1" customHeight="1" s="234"/>
    <row r="621" ht="15.75" customFormat="1" customHeight="1" s="234"/>
    <row r="622" ht="15.75" customFormat="1" customHeight="1" s="234"/>
    <row r="623" ht="15.75" customFormat="1" customHeight="1" s="234"/>
    <row r="624" ht="15.75" customFormat="1" customHeight="1" s="234"/>
    <row r="625" ht="15.75" customFormat="1" customHeight="1" s="234"/>
    <row r="626" ht="15.75" customFormat="1" customHeight="1" s="234"/>
    <row r="627" ht="15.75" customFormat="1" customHeight="1" s="234"/>
    <row r="628" ht="15.75" customFormat="1" customHeight="1" s="234"/>
    <row r="629" ht="15.75" customFormat="1" customHeight="1" s="234"/>
    <row r="630" ht="15.75" customFormat="1" customHeight="1" s="234"/>
    <row r="631" ht="15.75" customFormat="1" customHeight="1" s="234"/>
    <row r="632" ht="15.75" customFormat="1" customHeight="1" s="234"/>
    <row r="633" ht="15.75" customFormat="1" customHeight="1" s="234"/>
    <row r="634" ht="15.75" customFormat="1" customHeight="1" s="234"/>
    <row r="635" ht="15.75" customFormat="1" customHeight="1" s="234"/>
    <row r="636" ht="15.75" customFormat="1" customHeight="1" s="234"/>
    <row r="637" ht="15.75" customFormat="1" customHeight="1" s="234"/>
    <row r="638" ht="15.75" customFormat="1" customHeight="1" s="234"/>
    <row r="639" ht="15.75" customFormat="1" customHeight="1" s="234"/>
    <row r="640" ht="15.75" customFormat="1" customHeight="1" s="234"/>
    <row r="641" ht="15.75" customFormat="1" customHeight="1" s="234"/>
    <row r="642" ht="15.75" customFormat="1" customHeight="1" s="234"/>
    <row r="643" ht="15.75" customFormat="1" customHeight="1" s="234"/>
    <row r="644" ht="15.75" customFormat="1" customHeight="1" s="234"/>
    <row r="645" ht="15.75" customFormat="1" customHeight="1" s="234"/>
    <row r="646" ht="15.75" customFormat="1" customHeight="1" s="234"/>
    <row r="647" ht="15.75" customFormat="1" customHeight="1" s="234"/>
    <row r="648" ht="15.75" customFormat="1" customHeight="1" s="234"/>
    <row r="649" ht="15.75" customFormat="1" customHeight="1" s="234"/>
    <row r="650" ht="15.75" customFormat="1" customHeight="1" s="234"/>
    <row r="651" ht="15.75" customFormat="1" customHeight="1" s="234"/>
    <row r="652" ht="15.75" customFormat="1" customHeight="1" s="234"/>
    <row r="653" ht="15.75" customFormat="1" customHeight="1" s="234"/>
    <row r="654" ht="15.75" customFormat="1" customHeight="1" s="234"/>
    <row r="655" ht="15.75" customFormat="1" customHeight="1" s="234"/>
    <row r="656" ht="15.75" customFormat="1" customHeight="1" s="234"/>
    <row r="657" ht="15.75" customFormat="1" customHeight="1" s="234"/>
    <row r="658" ht="15.75" customFormat="1" customHeight="1" s="234"/>
    <row r="659" ht="15.75" customFormat="1" customHeight="1" s="234"/>
    <row r="660" ht="15.75" customFormat="1" customHeight="1" s="234"/>
    <row r="661" ht="15.75" customFormat="1" customHeight="1" s="234"/>
    <row r="662" ht="15.75" customFormat="1" customHeight="1" s="234"/>
    <row r="663" ht="15.75" customFormat="1" customHeight="1" s="234"/>
    <row r="664" ht="15.75" customFormat="1" customHeight="1" s="234"/>
    <row r="665" ht="15.75" customFormat="1" customHeight="1" s="234"/>
    <row r="666" ht="15.75" customFormat="1" customHeight="1" s="234"/>
    <row r="667" ht="15.75" customFormat="1" customHeight="1" s="234"/>
    <row r="668" ht="15.75" customFormat="1" customHeight="1" s="234"/>
    <row r="669" ht="15.75" customFormat="1" customHeight="1" s="234"/>
    <row r="670" ht="15.75" customFormat="1" customHeight="1" s="234"/>
    <row r="671" ht="15.75" customFormat="1" customHeight="1" s="234"/>
    <row r="672" ht="15.75" customFormat="1" customHeight="1" s="234"/>
    <row r="673" ht="15.75" customFormat="1" customHeight="1" s="234"/>
    <row r="674" ht="15.75" customFormat="1" customHeight="1" s="234"/>
    <row r="675" ht="15.75" customFormat="1" customHeight="1" s="234"/>
    <row r="676" ht="15.75" customFormat="1" customHeight="1" s="234"/>
    <row r="677" ht="15.75" customFormat="1" customHeight="1" s="234"/>
    <row r="678" ht="15.75" customFormat="1" customHeight="1" s="234"/>
    <row r="679" ht="15.75" customFormat="1" customHeight="1" s="234"/>
    <row r="680" ht="15.75" customFormat="1" customHeight="1" s="234"/>
    <row r="681" ht="15.75" customFormat="1" customHeight="1" s="234"/>
    <row r="682" ht="15.75" customFormat="1" customHeight="1" s="234"/>
    <row r="683" ht="15.75" customFormat="1" customHeight="1" s="234"/>
    <row r="684" ht="15.75" customFormat="1" customHeight="1" s="234"/>
    <row r="685" ht="15.75" customFormat="1" customHeight="1" s="234"/>
    <row r="686" ht="15.75" customFormat="1" customHeight="1" s="234"/>
    <row r="687" ht="15.75" customFormat="1" customHeight="1" s="234"/>
    <row r="688" ht="15.75" customFormat="1" customHeight="1" s="234"/>
    <row r="689" ht="15.75" customFormat="1" customHeight="1" s="234"/>
    <row r="690" ht="15.75" customFormat="1" customHeight="1" s="234"/>
    <row r="691" ht="15.75" customFormat="1" customHeight="1" s="234"/>
    <row r="692" ht="15.75" customFormat="1" customHeight="1" s="234"/>
    <row r="693" ht="15.75" customFormat="1" customHeight="1" s="234"/>
    <row r="694" ht="15.75" customFormat="1" customHeight="1" s="234"/>
    <row r="695" ht="15.75" customFormat="1" customHeight="1" s="234"/>
    <row r="696" ht="15.75" customFormat="1" customHeight="1" s="234"/>
    <row r="697" ht="15.75" customFormat="1" customHeight="1" s="234"/>
    <row r="698" ht="15.75" customFormat="1" customHeight="1" s="234"/>
    <row r="699" ht="15.75" customFormat="1" customHeight="1" s="234"/>
    <row r="700" ht="15.75" customFormat="1" customHeight="1" s="234"/>
    <row r="701" ht="15.75" customFormat="1" customHeight="1" s="234"/>
    <row r="702" ht="15.75" customFormat="1" customHeight="1" s="234"/>
    <row r="703" ht="15.75" customFormat="1" customHeight="1" s="234"/>
    <row r="704" ht="15.75" customFormat="1" customHeight="1" s="234"/>
    <row r="705" ht="15.75" customFormat="1" customHeight="1" s="234"/>
    <row r="706" ht="15.75" customFormat="1" customHeight="1" s="234"/>
    <row r="707" ht="15.75" customFormat="1" customHeight="1" s="234"/>
    <row r="708" ht="15.75" customFormat="1" customHeight="1" s="234"/>
    <row r="709" ht="15.75" customFormat="1" customHeight="1" s="234"/>
    <row r="710" ht="15.75" customFormat="1" customHeight="1" s="234"/>
    <row r="711" ht="15.75" customFormat="1" customHeight="1" s="234"/>
    <row r="712" ht="15.75" customFormat="1" customHeight="1" s="234"/>
    <row r="713" ht="15.75" customFormat="1" customHeight="1" s="234"/>
    <row r="714" ht="15.75" customFormat="1" customHeight="1" s="234"/>
    <row r="715" ht="15.75" customFormat="1" customHeight="1" s="234"/>
    <row r="716" ht="15.75" customFormat="1" customHeight="1" s="234"/>
    <row r="717" ht="15.75" customFormat="1" customHeight="1" s="234"/>
    <row r="718" ht="15.75" customFormat="1" customHeight="1" s="234"/>
    <row r="719" ht="15.75" customFormat="1" customHeight="1" s="234"/>
    <row r="720" ht="15.75" customFormat="1" customHeight="1" s="234"/>
    <row r="721" ht="15.75" customFormat="1" customHeight="1" s="234"/>
    <row r="722" ht="15.75" customFormat="1" customHeight="1" s="234"/>
    <row r="723" ht="15.75" customFormat="1" customHeight="1" s="234"/>
    <row r="724" ht="15.75" customFormat="1" customHeight="1" s="234"/>
    <row r="725" ht="15.75" customFormat="1" customHeight="1" s="234"/>
    <row r="726" ht="15.75" customFormat="1" customHeight="1" s="234"/>
    <row r="727" ht="15.75" customFormat="1" customHeight="1" s="234"/>
    <row r="728" ht="15.75" customFormat="1" customHeight="1" s="234"/>
    <row r="729" ht="15.75" customFormat="1" customHeight="1" s="234"/>
    <row r="730" ht="15.75" customFormat="1" customHeight="1" s="234"/>
    <row r="731" ht="15.75" customFormat="1" customHeight="1" s="234"/>
    <row r="732" ht="15.75" customFormat="1" customHeight="1" s="234"/>
    <row r="733" ht="15.75" customFormat="1" customHeight="1" s="234"/>
    <row r="734" ht="15.75" customFormat="1" customHeight="1" s="234"/>
    <row r="735" ht="15.75" customFormat="1" customHeight="1" s="234"/>
    <row r="736" ht="15.75" customFormat="1" customHeight="1" s="234"/>
    <row r="737" ht="15.75" customFormat="1" customHeight="1" s="234"/>
    <row r="738" ht="15.75" customFormat="1" customHeight="1" s="234"/>
    <row r="739" ht="15.75" customFormat="1" customHeight="1" s="234"/>
    <row r="740" ht="15.75" customFormat="1" customHeight="1" s="234"/>
    <row r="741" ht="15.75" customFormat="1" customHeight="1" s="234"/>
    <row r="742" ht="15.75" customFormat="1" customHeight="1" s="234"/>
    <row r="743" ht="15.75" customFormat="1" customHeight="1" s="234"/>
    <row r="744" ht="15.75" customFormat="1" customHeight="1" s="234"/>
    <row r="745" ht="15.75" customFormat="1" customHeight="1" s="234"/>
    <row r="746" ht="15.75" customFormat="1" customHeight="1" s="234"/>
    <row r="747" ht="15.75" customFormat="1" customHeight="1" s="234"/>
    <row r="748" ht="15.75" customFormat="1" customHeight="1" s="234"/>
    <row r="749" ht="15.75" customFormat="1" customHeight="1" s="234"/>
    <row r="750" ht="15.75" customFormat="1" customHeight="1" s="234"/>
    <row r="751" ht="15.75" customFormat="1" customHeight="1" s="234"/>
    <row r="752" ht="15.75" customFormat="1" customHeight="1" s="234"/>
    <row r="753" ht="15.75" customFormat="1" customHeight="1" s="234"/>
    <row r="754" ht="15.75" customFormat="1" customHeight="1" s="234"/>
    <row r="755" ht="15.75" customFormat="1" customHeight="1" s="234"/>
    <row r="756" ht="15.75" customFormat="1" customHeight="1" s="234"/>
    <row r="757" ht="15.75" customFormat="1" customHeight="1" s="234"/>
    <row r="758" ht="15.75" customFormat="1" customHeight="1" s="234"/>
    <row r="759" ht="15.75" customFormat="1" customHeight="1" s="234"/>
    <row r="760" ht="15.75" customFormat="1" customHeight="1" s="234"/>
    <row r="761" ht="15.75" customFormat="1" customHeight="1" s="234"/>
    <row r="762" ht="15.75" customFormat="1" customHeight="1" s="234"/>
    <row r="763" ht="15.75" customFormat="1" customHeight="1" s="234"/>
    <row r="764" ht="15.75" customFormat="1" customHeight="1" s="234"/>
    <row r="765" ht="15.75" customFormat="1" customHeight="1" s="234"/>
    <row r="766" ht="15.75" customFormat="1" customHeight="1" s="234"/>
    <row r="767" ht="15.75" customFormat="1" customHeight="1" s="234"/>
    <row r="768" ht="15.75" customFormat="1" customHeight="1" s="234"/>
    <row r="769" ht="15.75" customFormat="1" customHeight="1" s="234"/>
    <row r="770" ht="15.75" customFormat="1" customHeight="1" s="234"/>
    <row r="771" ht="15.75" customFormat="1" customHeight="1" s="234"/>
    <row r="772" ht="15.75" customFormat="1" customHeight="1" s="234"/>
    <row r="773" ht="15.75" customFormat="1" customHeight="1" s="234"/>
    <row r="774" ht="15.75" customFormat="1" customHeight="1" s="234"/>
    <row r="775" ht="15.75" customFormat="1" customHeight="1" s="234"/>
    <row r="776" ht="15.75" customFormat="1" customHeight="1" s="234"/>
    <row r="777" ht="15.75" customFormat="1" customHeight="1" s="234"/>
    <row r="778" ht="15.75" customFormat="1" customHeight="1" s="234"/>
    <row r="779" ht="15.75" customFormat="1" customHeight="1" s="234"/>
    <row r="780" ht="15.75" customFormat="1" customHeight="1" s="234"/>
    <row r="781" ht="15.75" customFormat="1" customHeight="1" s="234"/>
    <row r="782" ht="15.75" customFormat="1" customHeight="1" s="234"/>
    <row r="783" ht="15.75" customFormat="1" customHeight="1" s="234"/>
    <row r="784" ht="15.75" customFormat="1" customHeight="1" s="234"/>
    <row r="785" ht="15.75" customFormat="1" customHeight="1" s="234"/>
    <row r="786" ht="15.75" customFormat="1" customHeight="1" s="234"/>
    <row r="787" ht="15.75" customFormat="1" customHeight="1" s="234"/>
    <row r="788" ht="15.75" customFormat="1" customHeight="1" s="234"/>
    <row r="789" ht="15.75" customFormat="1" customHeight="1" s="234"/>
    <row r="790" ht="15.75" customFormat="1" customHeight="1" s="234"/>
    <row r="791" ht="15.75" customFormat="1" customHeight="1" s="234"/>
    <row r="792" ht="15.75" customFormat="1" customHeight="1" s="234"/>
    <row r="793" ht="15.75" customFormat="1" customHeight="1" s="234"/>
    <row r="794" ht="15.75" customFormat="1" customHeight="1" s="234"/>
    <row r="795" ht="15.75" customFormat="1" customHeight="1" s="234"/>
    <row r="796" ht="15.75" customFormat="1" customHeight="1" s="234"/>
    <row r="797" ht="15.75" customFormat="1" customHeight="1" s="234"/>
    <row r="798" ht="15.75" customFormat="1" customHeight="1" s="234"/>
    <row r="799" ht="15.75" customFormat="1" customHeight="1" s="234"/>
    <row r="800" ht="15.75" customFormat="1" customHeight="1" s="234"/>
    <row r="801" ht="15.75" customFormat="1" customHeight="1" s="234"/>
    <row r="802" ht="15.75" customFormat="1" customHeight="1" s="234"/>
    <row r="803" ht="15.75" customFormat="1" customHeight="1" s="234"/>
    <row r="804" ht="15.75" customFormat="1" customHeight="1" s="234"/>
    <row r="805" ht="15.75" customFormat="1" customHeight="1" s="234"/>
    <row r="806" ht="15.75" customFormat="1" customHeight="1" s="234"/>
    <row r="807" ht="15.75" customFormat="1" customHeight="1" s="234"/>
    <row r="808" ht="15.75" customFormat="1" customHeight="1" s="234"/>
    <row r="809" ht="15.75" customFormat="1" customHeight="1" s="234"/>
    <row r="810" ht="15.75" customFormat="1" customHeight="1" s="234"/>
    <row r="811" ht="15.75" customFormat="1" customHeight="1" s="234"/>
    <row r="812" ht="15.75" customFormat="1" customHeight="1" s="234"/>
    <row r="813" ht="15.75" customFormat="1" customHeight="1" s="234"/>
    <row r="814" ht="15.75" customFormat="1" customHeight="1" s="234"/>
    <row r="815" ht="15.75" customFormat="1" customHeight="1" s="234"/>
    <row r="816" ht="15.75" customFormat="1" customHeight="1" s="234"/>
    <row r="817" ht="15.75" customFormat="1" customHeight="1" s="234"/>
    <row r="818" ht="15.75" customFormat="1" customHeight="1" s="234"/>
    <row r="819" ht="15.75" customFormat="1" customHeight="1" s="234"/>
    <row r="820" ht="15.75" customFormat="1" customHeight="1" s="234"/>
    <row r="821" ht="15.75" customFormat="1" customHeight="1" s="234"/>
    <row r="822" ht="15.75" customFormat="1" customHeight="1" s="234"/>
    <row r="823" ht="15.75" customFormat="1" customHeight="1" s="234"/>
    <row r="824" ht="15.75" customFormat="1" customHeight="1" s="234"/>
    <row r="825" ht="15.75" customFormat="1" customHeight="1" s="234"/>
    <row r="826" ht="15.75" customFormat="1" customHeight="1" s="234"/>
    <row r="827" ht="15.75" customFormat="1" customHeight="1" s="234"/>
    <row r="828" ht="15.75" customFormat="1" customHeight="1" s="234"/>
    <row r="829" ht="15.75" customFormat="1" customHeight="1" s="234"/>
    <row r="830" ht="15.75" customFormat="1" customHeight="1" s="234"/>
    <row r="831" ht="15.75" customFormat="1" customHeight="1" s="234"/>
    <row r="832" ht="15.75" customFormat="1" customHeight="1" s="234"/>
    <row r="833" ht="15.75" customFormat="1" customHeight="1" s="234"/>
    <row r="834" ht="15.75" customFormat="1" customHeight="1" s="234"/>
    <row r="835" ht="15.75" customFormat="1" customHeight="1" s="234"/>
    <row r="836" ht="15.75" customFormat="1" customHeight="1" s="234"/>
    <row r="837" ht="15.75" customFormat="1" customHeight="1" s="234"/>
    <row r="838" ht="15.75" customFormat="1" customHeight="1" s="234"/>
    <row r="839" ht="15.75" customFormat="1" customHeight="1" s="234"/>
    <row r="840" ht="15.75" customFormat="1" customHeight="1" s="234"/>
    <row r="841" ht="15.75" customFormat="1" customHeight="1" s="234"/>
    <row r="842" ht="15.75" customFormat="1" customHeight="1" s="234"/>
    <row r="843" ht="15.75" customFormat="1" customHeight="1" s="234"/>
    <row r="844" ht="15.75" customFormat="1" customHeight="1" s="234"/>
    <row r="845" ht="15.75" customFormat="1" customHeight="1" s="234"/>
    <row r="846" ht="15.75" customFormat="1" customHeight="1" s="234"/>
    <row r="847" ht="15.75" customFormat="1" customHeight="1" s="234"/>
    <row r="848" ht="15.75" customFormat="1" customHeight="1" s="234"/>
    <row r="849" ht="15.75" customFormat="1" customHeight="1" s="234"/>
    <row r="850" ht="15.75" customFormat="1" customHeight="1" s="234"/>
    <row r="851" ht="15.75" customFormat="1" customHeight="1" s="234"/>
    <row r="852" ht="15.75" customFormat="1" customHeight="1" s="234"/>
    <row r="853" ht="15.75" customFormat="1" customHeight="1" s="234"/>
    <row r="854" ht="15.75" customFormat="1" customHeight="1" s="234"/>
    <row r="855" ht="15.75" customFormat="1" customHeight="1" s="234"/>
    <row r="856" ht="15.75" customFormat="1" customHeight="1" s="234"/>
    <row r="857" ht="15.75" customFormat="1" customHeight="1" s="234"/>
    <row r="858" ht="15.75" customFormat="1" customHeight="1" s="234"/>
    <row r="859" ht="15.75" customFormat="1" customHeight="1" s="234"/>
    <row r="860" ht="15.75" customFormat="1" customHeight="1" s="234"/>
    <row r="861" ht="15.75" customFormat="1" customHeight="1" s="234"/>
    <row r="862" ht="15.75" customFormat="1" customHeight="1" s="234"/>
    <row r="863" ht="15.75" customFormat="1" customHeight="1" s="234"/>
    <row r="864" ht="15.75" customFormat="1" customHeight="1" s="234"/>
    <row r="865" ht="15.75" customFormat="1" customHeight="1" s="234"/>
    <row r="866" ht="15.75" customFormat="1" customHeight="1" s="234"/>
    <row r="867" ht="15.75" customFormat="1" customHeight="1" s="234"/>
    <row r="868" ht="15.75" customFormat="1" customHeight="1" s="234"/>
    <row r="869" ht="15.75" customFormat="1" customHeight="1" s="234"/>
    <row r="870" ht="15.75" customFormat="1" customHeight="1" s="234"/>
    <row r="871" ht="15.75" customFormat="1" customHeight="1" s="234"/>
    <row r="872" ht="15.75" customFormat="1" customHeight="1" s="234"/>
    <row r="873" ht="15.75" customFormat="1" customHeight="1" s="234"/>
    <row r="874" ht="15.75" customFormat="1" customHeight="1" s="234"/>
    <row r="875" ht="15.75" customFormat="1" customHeight="1" s="234"/>
    <row r="876" ht="15.75" customFormat="1" customHeight="1" s="234"/>
    <row r="877" ht="15.75" customFormat="1" customHeight="1" s="234"/>
    <row r="878" ht="15.75" customFormat="1" customHeight="1" s="234"/>
    <row r="879" ht="15.75" customFormat="1" customHeight="1" s="234"/>
    <row r="880" ht="15.75" customFormat="1" customHeight="1" s="234"/>
    <row r="881" ht="15.75" customFormat="1" customHeight="1" s="234"/>
    <row r="882" ht="15.75" customFormat="1" customHeight="1" s="234"/>
    <row r="883" ht="15.75" customFormat="1" customHeight="1" s="234"/>
    <row r="884" ht="15.75" customFormat="1" customHeight="1" s="234"/>
    <row r="885" ht="15.75" customFormat="1" customHeight="1" s="234"/>
    <row r="886" ht="15.75" customFormat="1" customHeight="1" s="234"/>
    <row r="887" ht="15.75" customFormat="1" customHeight="1" s="234"/>
    <row r="888" ht="15.75" customFormat="1" customHeight="1" s="234"/>
    <row r="889" ht="15.75" customFormat="1" customHeight="1" s="234"/>
    <row r="890" ht="15.75" customFormat="1" customHeight="1" s="234"/>
    <row r="891" ht="15.75" customFormat="1" customHeight="1" s="234"/>
    <row r="892" ht="15.75" customFormat="1" customHeight="1" s="234"/>
    <row r="893" ht="15.75" customFormat="1" customHeight="1" s="234"/>
    <row r="894" ht="15.75" customFormat="1" customHeight="1" s="234"/>
    <row r="895" ht="15.75" customFormat="1" customHeight="1" s="234"/>
    <row r="896" ht="15.75" customFormat="1" customHeight="1" s="234"/>
    <row r="897" ht="15.75" customFormat="1" customHeight="1" s="234"/>
    <row r="898" ht="15.75" customFormat="1" customHeight="1" s="234"/>
    <row r="899" ht="15.75" customFormat="1" customHeight="1" s="234"/>
    <row r="900" ht="15.75" customFormat="1" customHeight="1" s="234"/>
    <row r="901" ht="15.75" customFormat="1" customHeight="1" s="234"/>
    <row r="902" ht="15.75" customFormat="1" customHeight="1" s="234"/>
    <row r="903" ht="15.75" customFormat="1" customHeight="1" s="234"/>
    <row r="904" ht="15.75" customFormat="1" customHeight="1" s="234"/>
    <row r="905" ht="15.75" customFormat="1" customHeight="1" s="234"/>
    <row r="906" ht="15.75" customFormat="1" customHeight="1" s="234"/>
    <row r="907" ht="15.75" customFormat="1" customHeight="1" s="234"/>
    <row r="908" ht="15.75" customFormat="1" customHeight="1" s="234"/>
    <row r="909" ht="15.75" customFormat="1" customHeight="1" s="234"/>
    <row r="910" ht="15.75" customFormat="1" customHeight="1" s="234"/>
    <row r="911" ht="15.75" customFormat="1" customHeight="1" s="234"/>
    <row r="912" ht="15.75" customFormat="1" customHeight="1" s="234"/>
    <row r="913" ht="15.75" customFormat="1" customHeight="1" s="234"/>
    <row r="914" ht="15.75" customFormat="1" customHeight="1" s="234"/>
    <row r="915" ht="15.75" customFormat="1" customHeight="1" s="234"/>
    <row r="916" ht="15.75" customFormat="1" customHeight="1" s="234"/>
    <row r="917" ht="15.75" customFormat="1" customHeight="1" s="234"/>
    <row r="918" ht="15.75" customFormat="1" customHeight="1" s="234"/>
    <row r="919" ht="15.75" customFormat="1" customHeight="1" s="234"/>
    <row r="920" ht="15.75" customFormat="1" customHeight="1" s="234"/>
    <row r="921" ht="15.75" customFormat="1" customHeight="1" s="234"/>
    <row r="922" ht="15.75" customFormat="1" customHeight="1" s="234"/>
    <row r="923" ht="15.75" customFormat="1" customHeight="1" s="234"/>
    <row r="924" ht="15.75" customFormat="1" customHeight="1" s="234"/>
    <row r="925" ht="15.75" customFormat="1" customHeight="1" s="234"/>
    <row r="926" ht="15.75" customFormat="1" customHeight="1" s="234"/>
    <row r="927" ht="15.75" customFormat="1" customHeight="1" s="234"/>
    <row r="928" ht="15.75" customFormat="1" customHeight="1" s="234"/>
    <row r="929" ht="15.75" customFormat="1" customHeight="1" s="234"/>
    <row r="930" ht="15.75" customFormat="1" customHeight="1" s="234"/>
    <row r="931" ht="15.75" customFormat="1" customHeight="1" s="234"/>
    <row r="932" ht="15.75" customFormat="1" customHeight="1" s="234"/>
    <row r="933" ht="15.75" customFormat="1" customHeight="1" s="234"/>
    <row r="934" ht="15.75" customFormat="1" customHeight="1" s="234"/>
    <row r="935" ht="15.75" customFormat="1" customHeight="1" s="234"/>
    <row r="936" ht="15.75" customFormat="1" customHeight="1" s="234"/>
    <row r="937" ht="15.75" customFormat="1" customHeight="1" s="234"/>
    <row r="938" ht="15.75" customFormat="1" customHeight="1" s="234"/>
    <row r="939" ht="15.75" customFormat="1" customHeight="1" s="234"/>
    <row r="940" ht="15.75" customFormat="1" customHeight="1" s="234"/>
    <row r="941" ht="15.75" customFormat="1" customHeight="1" s="234"/>
    <row r="942" ht="15.75" customFormat="1" customHeight="1" s="234"/>
    <row r="943" ht="15.75" customFormat="1" customHeight="1" s="234"/>
    <row r="944" ht="15.75" customFormat="1" customHeight="1" s="234"/>
    <row r="945" ht="15.75" customFormat="1" customHeight="1" s="234"/>
    <row r="946" ht="15.75" customFormat="1" customHeight="1" s="234"/>
    <row r="947" ht="15.75" customFormat="1" customHeight="1" s="234"/>
    <row r="948" ht="15.75" customFormat="1" customHeight="1" s="234"/>
    <row r="949" ht="15.75" customFormat="1" customHeight="1" s="234"/>
    <row r="950" ht="15.75" customFormat="1" customHeight="1" s="234"/>
    <row r="951" ht="15.75" customFormat="1" customHeight="1" s="234"/>
    <row r="952" ht="15.75" customFormat="1" customHeight="1" s="234"/>
    <row r="953" ht="15.75" customFormat="1" customHeight="1" s="234"/>
    <row r="954" ht="15.75" customFormat="1" customHeight="1" s="234"/>
    <row r="955" ht="15.75" customFormat="1" customHeight="1" s="234"/>
    <row r="956" ht="15.75" customFormat="1" customHeight="1" s="234"/>
    <row r="957" ht="15.75" customFormat="1" customHeight="1" s="234"/>
    <row r="958" ht="15.75" customFormat="1" customHeight="1" s="234"/>
    <row r="959" ht="15.75" customFormat="1" customHeight="1" s="234"/>
    <row r="960" ht="15.75" customFormat="1" customHeight="1" s="234"/>
    <row r="961" ht="15.75" customFormat="1" customHeight="1" s="234"/>
    <row r="962" ht="15.75" customFormat="1" customHeight="1" s="234"/>
    <row r="963" ht="15.75" customFormat="1" customHeight="1" s="234"/>
    <row r="964" ht="15.75" customFormat="1" customHeight="1" s="234"/>
    <row r="965" ht="15.75" customFormat="1" customHeight="1" s="234"/>
    <row r="966" ht="15.75" customFormat="1" customHeight="1" s="234"/>
    <row r="967" ht="15.75" customFormat="1" customHeight="1" s="234"/>
    <row r="968" ht="15.75" customFormat="1" customHeight="1" s="234"/>
    <row r="969" ht="15.75" customFormat="1" customHeight="1" s="234"/>
    <row r="970" ht="15.75" customFormat="1" customHeight="1" s="234"/>
    <row r="971" ht="15.75" customFormat="1" customHeight="1" s="234"/>
    <row r="972" ht="15.75" customFormat="1" customHeight="1" s="234"/>
    <row r="973" ht="15.75" customFormat="1" customHeight="1" s="234"/>
    <row r="974" ht="15.75" customFormat="1" customHeight="1" s="234"/>
    <row r="975" ht="15.75" customFormat="1" customHeight="1" s="234"/>
    <row r="976" ht="15.75" customFormat="1" customHeight="1" s="234"/>
    <row r="977" ht="15.75" customFormat="1" customHeight="1" s="234"/>
    <row r="978" ht="15.75" customFormat="1" customHeight="1" s="234"/>
    <row r="979" ht="15.75" customFormat="1" customHeight="1" s="234"/>
    <row r="980" ht="15.75" customFormat="1" customHeight="1" s="234"/>
    <row r="981" ht="15.75" customFormat="1" customHeight="1" s="234"/>
    <row r="982" ht="15.75" customFormat="1" customHeight="1" s="234"/>
    <row r="983" ht="15.75" customFormat="1" customHeight="1" s="234"/>
    <row r="984" ht="15.75" customFormat="1" customHeight="1" s="234"/>
    <row r="985" ht="15.75" customFormat="1" customHeight="1" s="234"/>
    <row r="986" ht="15.75" customFormat="1" customHeight="1" s="234"/>
    <row r="987" ht="15.75" customFormat="1" customHeight="1" s="234"/>
    <row r="988" ht="15.75" customFormat="1" customHeight="1" s="234"/>
    <row r="989" ht="15.75" customFormat="1" customHeight="1" s="234"/>
    <row r="990" ht="15.75" customFormat="1" customHeight="1" s="234"/>
    <row r="991" ht="15.75" customFormat="1" customHeight="1" s="234"/>
    <row r="992" ht="15.75" customFormat="1" customHeight="1" s="234"/>
    <row r="993" ht="15.75" customFormat="1" customHeight="1" s="234"/>
    <row r="994" ht="15.75" customFormat="1" customHeight="1" s="234"/>
    <row r="995" ht="15.75" customFormat="1" customHeight="1" s="234"/>
    <row r="996" ht="15.75" customFormat="1" customHeight="1" s="234"/>
    <row r="997" ht="15.75" customFormat="1" customHeight="1" s="234"/>
    <row r="998" ht="15.75" customFormat="1" customHeight="1" s="234"/>
    <row r="999" ht="15.75" customFormat="1" customHeight="1" s="234"/>
    <row r="1000" ht="15.75" customFormat="1" customHeight="1" s="234"/>
  </sheetData>
  <mergeCells count="7">
    <mergeCell ref="A20:L20"/>
    <mergeCell ref="A11:F11"/>
    <mergeCell ref="A10:F10"/>
    <mergeCell ref="A14:P14"/>
    <mergeCell ref="A1:P1"/>
    <mergeCell ref="A4:F4"/>
    <mergeCell ref="A2:P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7"/>
  <sheetViews>
    <sheetView showGridLines="0" topLeftCell="A17" zoomScaleNormal="100" workbookViewId="0">
      <selection activeCell="L39" sqref="L39"/>
    </sheetView>
  </sheetViews>
  <sheetFormatPr baseColWidth="10" defaultColWidth="8.83203125" defaultRowHeight="17"/>
  <cols>
    <col width="15" customWidth="1" style="22" min="1" max="2"/>
    <col width="9.5" customWidth="1" style="22" min="3" max="3"/>
    <col width="18" customWidth="1" style="22" min="4" max="4"/>
    <col width="8.83203125" customWidth="1" style="22" min="5" max="10"/>
    <col width="8.83203125" customWidth="1" style="22" min="11" max="16384"/>
  </cols>
  <sheetData>
    <row r="1" ht="24" customHeight="1">
      <c r="A1" s="351" t="inlineStr">
        <is>
          <t>관세청 주간 고시환율 (USD/KRW 수입환율)</t>
        </is>
      </c>
      <c r="B1" s="219" t="n"/>
      <c r="C1" s="219" t="n"/>
      <c r="D1" s="220" t="n"/>
    </row>
    <row r="2" ht="15.75" customHeight="1">
      <c r="A2" s="352" t="inlineStr">
        <is>
          <t>출처: 관세청 관세법령정보포털 (CLIP) - 주간환율조회</t>
        </is>
      </c>
      <c r="B2" s="219" t="n"/>
      <c r="C2" s="219" t="n"/>
      <c r="D2" s="220" t="n"/>
    </row>
    <row r="3" ht="15.75" customHeight="1">
      <c r="A3" s="352" t="inlineStr">
        <is>
          <t>관세법 제18조 기준: 수입신고일이 속하는 주의 전주 기준환율 평균 (매주 금요일 고시, 일~토 적용)</t>
        </is>
      </c>
      <c r="B3" s="219" t="n"/>
      <c r="C3" s="219" t="n"/>
      <c r="D3" s="220" t="n"/>
    </row>
    <row r="4" ht="15.75" customHeight="1">
      <c r="A4" s="353" t="inlineStr">
        <is>
          <t>업데이트: 2026-09-22 (관세청 고시환율)</t>
        </is>
      </c>
      <c r="B4" s="219" t="n"/>
      <c r="C4" s="219" t="n"/>
      <c r="D4" s="220" t="n"/>
    </row>
    <row r="5" ht="7.5" customHeight="1"/>
    <row r="6" ht="27.75" customHeight="1">
      <c r="A6" s="50" t="inlineStr">
        <is>
          <t>적용 시작일</t>
        </is>
      </c>
      <c r="B6" s="50" t="inlineStr">
        <is>
          <t>적용 종료일</t>
        </is>
      </c>
      <c r="C6" s="50" t="inlineStr">
        <is>
          <t>통화</t>
        </is>
      </c>
      <c r="D6" s="50" t="inlineStr">
        <is>
          <t>수입환율(원/USD)</t>
        </is>
      </c>
    </row>
    <row r="7" ht="18" customHeight="1">
      <c r="A7" s="354" t="n">
        <v>45935</v>
      </c>
      <c r="B7" s="354" t="n">
        <v>45941</v>
      </c>
      <c r="C7" s="3" t="inlineStr">
        <is>
          <t>USD</t>
        </is>
      </c>
      <c r="D7" s="6" t="n">
        <v>1405.75</v>
      </c>
    </row>
    <row r="8" ht="18" customHeight="1">
      <c r="A8" s="354" t="n">
        <v>45942</v>
      </c>
      <c r="B8" s="354" t="n">
        <v>45948</v>
      </c>
      <c r="C8" s="3" t="inlineStr">
        <is>
          <t>USD</t>
        </is>
      </c>
      <c r="D8" s="6" t="n">
        <v>1401.9</v>
      </c>
    </row>
    <row r="9" ht="18" customHeight="1">
      <c r="A9" s="354" t="n">
        <v>45949</v>
      </c>
      <c r="B9" s="354" t="n">
        <v>45955</v>
      </c>
      <c r="C9" s="3" t="inlineStr">
        <is>
          <t>USD</t>
        </is>
      </c>
      <c r="D9" s="6" t="n">
        <v>1424.02</v>
      </c>
    </row>
    <row r="10" ht="18" customHeight="1">
      <c r="A10" s="354" t="n">
        <v>45956</v>
      </c>
      <c r="B10" s="354" t="n">
        <v>45962</v>
      </c>
      <c r="C10" s="3" t="inlineStr">
        <is>
          <t>USD</t>
        </is>
      </c>
      <c r="D10" s="6" t="n">
        <v>1426.02</v>
      </c>
    </row>
    <row r="11" ht="18" customHeight="1">
      <c r="A11" s="354" t="n">
        <v>45963</v>
      </c>
      <c r="B11" s="354" t="n">
        <v>45969</v>
      </c>
      <c r="C11" s="3" t="inlineStr">
        <is>
          <t>USD</t>
        </is>
      </c>
      <c r="D11" s="6" t="n">
        <v>1431.82</v>
      </c>
    </row>
    <row r="12" ht="18" customHeight="1">
      <c r="A12" s="354" t="n">
        <v>45970</v>
      </c>
      <c r="B12" s="354" t="n">
        <v>45976</v>
      </c>
      <c r="C12" s="3" t="inlineStr">
        <is>
          <t>USD</t>
        </is>
      </c>
      <c r="D12" s="6" t="n">
        <v>1437.34</v>
      </c>
    </row>
    <row r="13" ht="18" customHeight="1">
      <c r="A13" s="354" t="n">
        <v>45977</v>
      </c>
      <c r="B13" s="354" t="n">
        <v>45983</v>
      </c>
      <c r="C13" s="3" t="inlineStr">
        <is>
          <t>USD</t>
        </is>
      </c>
      <c r="D13" s="6" t="n">
        <v>1461.36</v>
      </c>
    </row>
    <row r="14" ht="18" customHeight="1">
      <c r="A14" s="354" t="n">
        <v>45984</v>
      </c>
      <c r="B14" s="354" t="n">
        <v>45990</v>
      </c>
      <c r="C14" s="3" t="inlineStr">
        <is>
          <t>USD</t>
        </is>
      </c>
      <c r="D14" s="6" t="n">
        <v>1463.08</v>
      </c>
    </row>
    <row r="15" ht="18" customHeight="1">
      <c r="A15" s="354" t="n">
        <v>45991</v>
      </c>
      <c r="B15" s="354" t="n">
        <v>45997</v>
      </c>
      <c r="C15" s="3" t="inlineStr">
        <is>
          <t>USD</t>
        </is>
      </c>
      <c r="D15" s="6" t="n">
        <v>1469.3</v>
      </c>
    </row>
    <row r="16" ht="18" customHeight="1">
      <c r="A16" s="354" t="n">
        <v>45998</v>
      </c>
      <c r="B16" s="354" t="n">
        <v>46004</v>
      </c>
      <c r="C16" s="3" t="inlineStr">
        <is>
          <t>USD</t>
        </is>
      </c>
      <c r="D16" s="6" t="n">
        <v>1468.96</v>
      </c>
    </row>
    <row r="17" ht="18" customHeight="1">
      <c r="A17" s="354" t="n">
        <v>46005</v>
      </c>
      <c r="B17" s="354" t="n">
        <v>46011</v>
      </c>
      <c r="C17" s="3" t="inlineStr">
        <is>
          <t>USD</t>
        </is>
      </c>
      <c r="D17" s="6" t="n">
        <v>1470.28</v>
      </c>
    </row>
    <row r="18" ht="18" customHeight="1">
      <c r="A18" s="354" t="n">
        <v>46012</v>
      </c>
      <c r="B18" s="354" t="n">
        <v>46018</v>
      </c>
      <c r="C18" s="3" t="inlineStr">
        <is>
          <t>USD</t>
        </is>
      </c>
      <c r="D18" s="6" t="n">
        <v>1474.96</v>
      </c>
    </row>
    <row r="19" ht="18" customHeight="1">
      <c r="A19" s="354" t="n">
        <v>46019</v>
      </c>
      <c r="B19" s="354" t="n">
        <v>46025</v>
      </c>
      <c r="C19" s="3" t="inlineStr">
        <is>
          <t>USD</t>
        </is>
      </c>
      <c r="D19" s="6" t="n">
        <v>1475.18</v>
      </c>
    </row>
    <row r="20" ht="18" customHeight="1">
      <c r="A20" s="354" t="n">
        <v>46026</v>
      </c>
      <c r="B20" s="354" t="n">
        <v>46032</v>
      </c>
      <c r="C20" s="3" t="inlineStr">
        <is>
          <t>USD</t>
        </is>
      </c>
      <c r="D20" s="6" t="n">
        <v>1436.5</v>
      </c>
    </row>
    <row r="21" ht="18" customHeight="1">
      <c r="A21" s="354" t="n">
        <v>46033</v>
      </c>
      <c r="B21" s="354" t="n">
        <v>46039</v>
      </c>
      <c r="C21" s="3" t="inlineStr">
        <is>
          <t>USD</t>
        </is>
      </c>
      <c r="D21" s="6" t="n">
        <v>1446.46</v>
      </c>
    </row>
    <row r="22" ht="18" customHeight="1">
      <c r="A22" s="354" t="n">
        <v>46040</v>
      </c>
      <c r="B22" s="354" t="n">
        <v>46046</v>
      </c>
      <c r="C22" s="3" t="inlineStr">
        <is>
          <t>USD</t>
        </is>
      </c>
      <c r="D22" s="6" t="n">
        <v>1467.96</v>
      </c>
    </row>
    <row r="23" ht="18" customHeight="1">
      <c r="A23" s="354" t="n">
        <v>46047</v>
      </c>
      <c r="B23" s="354" t="n">
        <v>46053</v>
      </c>
      <c r="C23" s="3" t="inlineStr">
        <is>
          <t>USD</t>
        </is>
      </c>
      <c r="D23" s="6" t="n">
        <v>1473.06</v>
      </c>
    </row>
    <row r="24" ht="18" customHeight="1">
      <c r="A24" s="354" t="n">
        <v>46054</v>
      </c>
      <c r="B24" s="354" t="n">
        <v>46060</v>
      </c>
      <c r="C24" s="3" t="inlineStr">
        <is>
          <t>USD</t>
        </is>
      </c>
      <c r="D24" s="6" t="n">
        <v>1442.88</v>
      </c>
    </row>
    <row r="25" ht="18" customHeight="1">
      <c r="A25" s="354" t="n">
        <v>46061</v>
      </c>
      <c r="B25" s="354" t="n">
        <v>46067</v>
      </c>
      <c r="C25" s="3" t="inlineStr">
        <is>
          <t>USD</t>
        </is>
      </c>
      <c r="D25" s="6" t="n">
        <v>1451.66</v>
      </c>
    </row>
    <row r="26" ht="18" customHeight="1">
      <c r="A26" s="354" t="n">
        <v>46068</v>
      </c>
      <c r="B26" s="354" t="n">
        <v>46074</v>
      </c>
      <c r="C26" s="3" t="inlineStr">
        <is>
          <t>USD</t>
        </is>
      </c>
      <c r="D26" s="6" t="n">
        <v>1458.02</v>
      </c>
    </row>
    <row r="27" ht="18" customHeight="1">
      <c r="A27" s="354" t="n">
        <v>46075</v>
      </c>
      <c r="B27" s="354" t="n">
        <v>46081</v>
      </c>
      <c r="C27" s="3" t="inlineStr">
        <is>
          <t>USD</t>
        </is>
      </c>
      <c r="D27" s="6" t="n">
        <v>1446.9</v>
      </c>
    </row>
    <row r="28" ht="18" customHeight="1">
      <c r="A28" s="354" t="n">
        <v>46082</v>
      </c>
      <c r="B28" s="354" t="n">
        <v>46088</v>
      </c>
      <c r="C28" s="3" t="inlineStr">
        <is>
          <t>USD</t>
        </is>
      </c>
      <c r="D28" s="6" t="n">
        <v>1439.26</v>
      </c>
    </row>
    <row r="29" ht="18" customHeight="1">
      <c r="A29" s="354" t="n">
        <v>46089</v>
      </c>
      <c r="B29" s="354" t="n">
        <v>46095</v>
      </c>
      <c r="C29" s="3" t="inlineStr">
        <is>
          <t>USD</t>
        </is>
      </c>
      <c r="D29" s="6" t="n">
        <v>1460.75</v>
      </c>
    </row>
    <row r="30" ht="18" customHeight="1">
      <c r="A30" s="354" t="n">
        <v>46096</v>
      </c>
      <c r="B30" s="354" t="n">
        <v>46102</v>
      </c>
      <c r="C30" s="3" t="inlineStr">
        <is>
          <t>USD</t>
        </is>
      </c>
      <c r="D30" s="6" t="n">
        <v>1477.5</v>
      </c>
    </row>
    <row r="31" ht="18" customHeight="1">
      <c r="A31" s="354" t="n">
        <v>46103</v>
      </c>
      <c r="B31" s="354" t="n">
        <v>46109</v>
      </c>
      <c r="C31" s="3" t="inlineStr">
        <is>
          <t>USD</t>
        </is>
      </c>
      <c r="D31" s="6" t="n">
        <v>1492.56</v>
      </c>
    </row>
    <row r="32" ht="18" customHeight="1">
      <c r="A32" s="354" t="n">
        <v>46110</v>
      </c>
      <c r="B32" s="354" t="n">
        <v>46116</v>
      </c>
      <c r="C32" s="3" t="inlineStr">
        <is>
          <t>USD</t>
        </is>
      </c>
      <c r="D32" s="6" t="n">
        <v>1500.92</v>
      </c>
    </row>
    <row r="33" ht="18" customHeight="1">
      <c r="A33" s="354" t="n">
        <v>46117</v>
      </c>
      <c r="B33" s="354" t="n">
        <v>46123</v>
      </c>
      <c r="C33" s="3" t="inlineStr">
        <is>
          <t>USD</t>
        </is>
      </c>
      <c r="D33" s="6" t="n">
        <v>1515.72</v>
      </c>
    </row>
    <row r="34" ht="18" customHeight="1">
      <c r="A34" s="354" t="n">
        <v>46124</v>
      </c>
      <c r="B34" s="354" t="n">
        <v>46130</v>
      </c>
      <c r="C34" s="3" t="inlineStr">
        <is>
          <t>USD</t>
        </is>
      </c>
      <c r="D34" s="6" t="n">
        <v>1495.76</v>
      </c>
    </row>
    <row r="35" ht="18" customHeight="1">
      <c r="A35" s="354" t="n">
        <v>46131</v>
      </c>
      <c r="B35" s="354" t="n">
        <v>46137</v>
      </c>
      <c r="C35" s="3" t="inlineStr">
        <is>
          <t>USD</t>
        </is>
      </c>
      <c r="D35" s="6" t="n">
        <v>1479.34</v>
      </c>
    </row>
    <row r="36" ht="18" customHeight="1">
      <c r="A36" s="354" t="n">
        <v>46138</v>
      </c>
      <c r="B36" s="354" t="n">
        <v>46144</v>
      </c>
      <c r="C36" s="3" t="inlineStr">
        <is>
          <t>USD</t>
        </is>
      </c>
      <c r="D36" s="6" t="n">
        <v>1476.92</v>
      </c>
    </row>
    <row r="37" ht="18" customHeight="1">
      <c r="A37" s="354" t="n">
        <v>46145</v>
      </c>
      <c r="B37" s="354" t="n">
        <v>46151</v>
      </c>
      <c r="C37" s="3" t="inlineStr">
        <is>
          <t>USD</t>
        </is>
      </c>
      <c r="D37" s="6" t="n">
        <v>1476.35</v>
      </c>
    </row>
    <row r="38">
      <c r="A38" s="354" t="n">
        <v>46152</v>
      </c>
      <c r="B38" s="354" t="n">
        <v>46158</v>
      </c>
      <c r="C38" s="3" t="inlineStr">
        <is>
          <t>USD</t>
        </is>
      </c>
      <c r="D38" s="6" t="n">
        <v>1465.73</v>
      </c>
    </row>
    <row r="39">
      <c r="A39" s="354" t="n">
        <v>46159</v>
      </c>
      <c r="B39" s="354" t="n">
        <v>46165</v>
      </c>
      <c r="C39" s="3" t="inlineStr">
        <is>
          <t>USD</t>
        </is>
      </c>
      <c r="D39" s="6" t="n">
        <v>1482.04</v>
      </c>
    </row>
    <row r="40">
      <c r="A40" s="355" t="n">
        <v>46166</v>
      </c>
      <c r="B40" s="355" t="n">
        <v>46172</v>
      </c>
      <c r="C40" s="108" t="inlineStr">
        <is>
          <t>USD</t>
        </is>
      </c>
      <c r="D40" s="112" t="n">
        <v>1504.04</v>
      </c>
    </row>
    <row r="41">
      <c r="A41" s="355" t="n">
        <v>46173</v>
      </c>
      <c r="B41" s="355" t="n">
        <v>46179</v>
      </c>
      <c r="C41" s="108" t="inlineStr">
        <is>
          <t>USD</t>
        </is>
      </c>
      <c r="D41" s="112" t="n">
        <v>1507.15</v>
      </c>
    </row>
    <row r="42">
      <c r="A42" s="355" t="n">
        <v>46180</v>
      </c>
      <c r="B42" s="355" t="n">
        <v>46186</v>
      </c>
      <c r="C42" s="108" t="inlineStr">
        <is>
          <t>USD</t>
        </is>
      </c>
      <c r="D42" s="112" t="n">
        <v>1514.68</v>
      </c>
    </row>
    <row r="43">
      <c r="A43" s="355" t="n">
        <v>46187</v>
      </c>
      <c r="B43" s="355" t="n">
        <v>46193</v>
      </c>
      <c r="C43" s="108" t="inlineStr">
        <is>
          <t>USD</t>
        </is>
      </c>
      <c r="D43" s="112" t="n">
        <v>1531.46</v>
      </c>
    </row>
    <row r="44">
      <c r="A44" s="355" t="n">
        <v>46194</v>
      </c>
      <c r="B44" s="355" t="n">
        <v>46200</v>
      </c>
      <c r="C44" s="108" t="inlineStr">
        <is>
          <t>USD</t>
        </is>
      </c>
      <c r="D44" s="112" t="n">
        <v>1516.02</v>
      </c>
    </row>
    <row r="45">
      <c r="A45" s="355" t="n">
        <v>46201</v>
      </c>
      <c r="B45" s="355" t="n">
        <v>46207</v>
      </c>
      <c r="C45" s="108" t="inlineStr">
        <is>
          <t>USD</t>
        </is>
      </c>
      <c r="D45" s="112" t="n">
        <v>1538.3</v>
      </c>
    </row>
    <row r="46">
      <c r="A46" s="355" t="n">
        <v>46208</v>
      </c>
      <c r="B46" s="355" t="n">
        <v>46214</v>
      </c>
      <c r="C46" s="108" t="inlineStr">
        <is>
          <t>USD</t>
        </is>
      </c>
      <c r="D46" s="112" t="n">
        <v>1548.52</v>
      </c>
    </row>
    <row r="47">
      <c r="A47" s="355" t="n">
        <v>46215</v>
      </c>
      <c r="B47" s="355" t="n">
        <v>46221</v>
      </c>
      <c r="C47" s="108" t="inlineStr">
        <is>
          <t>USD</t>
        </is>
      </c>
      <c r="D47" s="112" t="n">
        <v>1522.44</v>
      </c>
    </row>
    <row r="48">
      <c r="A48" s="355" t="n">
        <v>46222</v>
      </c>
      <c r="B48" s="355" t="n">
        <v>46228</v>
      </c>
      <c r="C48" s="108" t="inlineStr">
        <is>
          <t>USD</t>
        </is>
      </c>
      <c r="D48" s="112" t="n">
        <v>1498.25</v>
      </c>
    </row>
    <row r="49">
      <c r="A49" s="355" t="n">
        <v>46229</v>
      </c>
      <c r="B49" s="355" t="n">
        <v>46235</v>
      </c>
      <c r="C49" s="108" t="inlineStr">
        <is>
          <t>USD</t>
        </is>
      </c>
      <c r="D49" s="112" t="n">
        <v>1478.44</v>
      </c>
    </row>
    <row r="50">
      <c r="A50" s="355" t="n">
        <v>46236</v>
      </c>
      <c r="B50" s="355" t="n">
        <v>46242</v>
      </c>
      <c r="C50" s="108" t="inlineStr">
        <is>
          <t>USD</t>
        </is>
      </c>
      <c r="D50" s="112" t="n">
        <v>1457.82</v>
      </c>
    </row>
    <row r="51">
      <c r="A51" s="355" t="n">
        <v>46243</v>
      </c>
      <c r="B51" s="355" t="n">
        <v>46249</v>
      </c>
      <c r="C51" s="108" t="inlineStr">
        <is>
          <t>USD</t>
        </is>
      </c>
      <c r="D51" s="112" t="n">
        <v>1427.06</v>
      </c>
    </row>
    <row r="52">
      <c r="A52" s="355" t="n">
        <v>46250</v>
      </c>
      <c r="B52" s="355" t="n">
        <v>46256</v>
      </c>
      <c r="C52" s="108" t="inlineStr">
        <is>
          <t>USD</t>
        </is>
      </c>
      <c r="D52" s="112" t="n">
        <v>1416.06</v>
      </c>
    </row>
    <row r="53">
      <c r="A53" s="355" t="n">
        <v>46257</v>
      </c>
      <c r="B53" s="355" t="n">
        <v>46263</v>
      </c>
      <c r="C53" s="108" t="inlineStr">
        <is>
          <t>USD</t>
        </is>
      </c>
      <c r="D53" s="112" t="n">
        <v>1405.43</v>
      </c>
    </row>
    <row r="54">
      <c r="A54" s="355" t="n">
        <v>46264</v>
      </c>
      <c r="B54" s="355" t="n">
        <v>46270</v>
      </c>
      <c r="C54" s="108" t="inlineStr">
        <is>
          <t>USD</t>
        </is>
      </c>
      <c r="D54" s="112" t="n">
        <v>1382.44</v>
      </c>
    </row>
    <row r="55">
      <c r="A55" s="355" t="n">
        <v>46271</v>
      </c>
      <c r="B55" s="355" t="n">
        <v>46277</v>
      </c>
      <c r="C55" s="108" t="inlineStr">
        <is>
          <t>USD</t>
        </is>
      </c>
      <c r="D55" s="112" t="n">
        <v>1369.86</v>
      </c>
    </row>
    <row r="56">
      <c r="A56" s="247" t="n">
        <v>46278</v>
      </c>
      <c r="B56" s="247" t="n">
        <v>46284</v>
      </c>
      <c r="C56" s="152" t="inlineStr">
        <is>
          <t>USD</t>
        </is>
      </c>
      <c r="D56" s="151" t="n">
        <v>1343</v>
      </c>
    </row>
    <row r="57">
      <c r="A57" s="247" t="n">
        <v>46285</v>
      </c>
      <c r="B57" s="247" t="n">
        <v>46291</v>
      </c>
      <c r="C57" s="152" t="inlineStr">
        <is>
          <t>USD</t>
        </is>
      </c>
      <c r="D57" s="151" t="n">
        <v>1358.72</v>
      </c>
    </row>
  </sheetData>
  <mergeCells count="4">
    <mergeCell ref="A1:D1"/>
    <mergeCell ref="A4:D4"/>
    <mergeCell ref="A3:D3"/>
    <mergeCell ref="A2:D2"/>
  </mergeCells>
  <hyperlinks>
    <hyperlink xmlns:r="http://schemas.openxmlformats.org/officeDocument/2006/relationships" ref="A2" r:id="rId1"/>
  </hyperlink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2026-04-04T14:28:43Z</dcterms:created>
  <dcterms:modified xmlns:dcterms="http://purl.org/dc/terms/" xmlns:xsi="http://www.w3.org/2001/XMLSchema-instance" xsi:type="dcterms:W3CDTF">2026-09-22T08:34:56Z</dcterms:modified>
  <cp:lastModifiedBy>원석 도</cp:lastModifiedBy>
  <cp:revision>0</cp:revision>
</cp:coreProperties>
</file>